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392ce80b4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criptions" sheetId="2" r:id="Rb2dc70a66ac54f5d"/>
    <x:sheet xmlns:r="http://schemas.openxmlformats.org/officeDocument/2006/relationships" name="Monthly_revenue" sheetId="3" r:id="R47d736889a0d4b68"/>
    <x:sheet xmlns:r="http://schemas.openxmlformats.org/officeDocument/2006/relationships" name="Analysis" sheetId="1" r:id="Re6910362cc6c4441"/>
    <x:sheet xmlns:r="http://schemas.openxmlformats.org/officeDocument/2006/relationships" name="Dashboard" sheetId="4" r:id="Rf457d42d66704a76"/>
    <x:sheet xmlns:r="http://schemas.openxmlformats.org/officeDocument/2006/relationships" name="Deep_Dive" sheetId="5" r:id="Reb40f16e8542472b"/>
  </x:sheets>
  <x:definedNames>
    <x:definedName name="ExternalData_1" localSheetId="1" hidden="1">Monthly_revenue!$A$1:$H$49</x:definedName>
    <x:definedName name="ExternalData_1" localSheetId="0" hidden="1">Subscriptions!$A$1:$Q$601</x:definedName>
  </x:definedNames>
  <x:pivotCaches>
    <x:pivotCache xmlns:r="http://schemas.openxmlformats.org/officeDocument/2006/relationships" cacheId="0" r:id="Rbebc6a29746b4001"/>
    <x:pivotCache xmlns:r="http://schemas.openxmlformats.org/officeDocument/2006/relationships" cacheId="6" r:id="R37c9a2afb6b94456"/>
  </x:pivotCaches>
</x:workbook>
</file>

<file path=xl/sharedStrings.xml><?xml version="1.0" encoding="utf-8"?>
<x:sst xmlns:x="http://schemas.openxmlformats.org/spreadsheetml/2006/main">
  <x:si>
    <x:t xml:space="preserve">customer_id</x:t>
  </x:si>
  <x:si>
    <x:t xml:space="preserve">plan</x:t>
  </x:si>
  <x:si>
    <x:t xml:space="preserve">billing_cycle</x:t>
  </x:si>
  <x:si>
    <x:t xml:space="preserve">industry</x:t>
  </x:si>
  <x:si>
    <x:t xml:space="preserve">company_size</x:t>
  </x:si>
  <x:si>
    <x:t xml:space="preserve">seats</x:t>
  </x:si>
  <x:si>
    <x:t xml:space="preserve">monthly_revenue</x:t>
  </x:si>
  <x:si>
    <x:t xml:space="preserve">acquisition_channel</x:t>
  </x:si>
  <x:si>
    <x:t xml:space="preserve">region</x:t>
  </x:si>
  <x:si>
    <x:t xml:space="preserve">signup_date</x:t>
  </x:si>
  <x:si>
    <x:t xml:space="preserve">churned</x:t>
  </x:si>
  <x:si>
    <x:t xml:space="preserve">churn_date</x:t>
  </x:si>
  <x:si>
    <x:t xml:space="preserve">churn_reason</x:t>
  </x:si>
  <x:si>
    <x:t xml:space="preserve">support_tickets_12mo</x:t>
  </x:si>
  <x:si>
    <x:t xml:space="preserve">nps_score</x:t>
  </x:si>
  <x:si>
    <x:t xml:space="preserve">feature_usage_pct</x:t>
  </x:si>
  <x:si>
    <x:t xml:space="preserve">upgraded</x:t>
  </x:si>
  <x:si>
    <x:t xml:space="preserve">churn_flag</x:t>
  </x:si>
  <x:si>
    <x:t xml:space="preserve">CUST-0001</x:t>
  </x:si>
  <x:si>
    <x:t xml:space="preserve">Professional</x:t>
  </x:si>
  <x:si>
    <x:t xml:space="preserve">Monthly</x:t>
  </x:si>
  <x:si>
    <x:t xml:space="preserve">Retail</x:t>
  </x:si>
  <x:si>
    <x:t xml:space="preserve">51-200</x:t>
  </x:si>
  <x:si>
    <x:t xml:space="preserve">Organic Search</x:t>
  </x:si>
  <x:si>
    <x:t xml:space="preserve">North America</x:t>
  </x:si>
  <x:si>
    <x:t xml:space="preserve">Yes</x:t>
  </x:si>
  <x:si>
    <x:t xml:space="preserve">Price Too High</x:t>
  </x:si>
  <x:si>
    <x:t xml:space="preserve">No</x:t>
  </x:si>
  <x:si>
    <x:t xml:space="preserve">CUST-0002</x:t>
  </x:si>
  <x:si>
    <x:t xml:space="preserve">Annual</x:t>
  </x:si>
  <x:si>
    <x:t xml:space="preserve">Direct Sales</x:t>
  </x:si>
  <x:si>
    <x:t xml:space="preserve">30</x:t>
  </x:si>
  <x:si>
    <x:t xml:space="preserve">CUST-0003</x:t>
  </x:si>
  <x:si>
    <x:t xml:space="preserve">Starter</x:t>
  </x:si>
  <x:si>
    <x:t xml:space="preserve">Finance</x:t>
  </x:si>
  <x:si>
    <x:t xml:space="preserve">500+</x:t>
  </x:si>
  <x:si>
    <x:t xml:space="preserve">Partner</x:t>
  </x:si>
  <x:si>
    <x:t xml:space="preserve">CUST-0004</x:t>
  </x:si>
  <x:si>
    <x:t xml:space="preserve">Business</x:t>
  </x:si>
  <x:si>
    <x:t xml:space="preserve">Real Estate</x:t>
  </x:si>
  <x:si>
    <x:t xml:space="preserve">11-50</x:t>
  </x:si>
  <x:si>
    <x:t xml:space="preserve">Europe</x:t>
  </x:si>
  <x:si>
    <x:t xml:space="preserve">CUST-0005</x:t>
  </x:si>
  <x:si>
    <x:t xml:space="preserve">Manufacturing</x:t>
  </x:si>
  <x:si>
    <x:t xml:space="preserve">CUST-0006</x:t>
  </x:si>
  <x:si>
    <x:t xml:space="preserve">Technology</x:t>
  </x:si>
  <x:si>
    <x:t xml:space="preserve">1-10</x:t>
  </x:si>
  <x:si>
    <x:t xml:space="preserve">Referral</x:t>
  </x:si>
  <x:si>
    <x:t xml:space="preserve">CUST-0007</x:t>
  </x:si>
  <x:si>
    <x:t xml:space="preserve">201-500</x:t>
  </x:si>
  <x:si>
    <x:t xml:space="preserve">Poor Support</x:t>
  </x:si>
  <x:si>
    <x:t xml:space="preserve">CUST-0008</x:t>
  </x:si>
  <x:si>
    <x:t xml:space="preserve">CUST-0009</x:t>
  </x:si>
  <x:si>
    <x:t xml:space="preserve">Media</x:t>
  </x:si>
  <x:si>
    <x:t xml:space="preserve">Switched Competitor</x:t>
  </x:si>
  <x:si>
    <x:t xml:space="preserve">CUST-0010</x:t>
  </x:si>
  <x:si>
    <x:t xml:space="preserve">Healthcare</x:t>
  </x:si>
  <x:si>
    <x:t xml:space="preserve">Budget Cuts</x:t>
  </x:si>
  <x:si>
    <x:t xml:space="preserve">CUST-0011</x:t>
  </x:si>
  <x:si>
    <x:t xml:space="preserve">Asia Pacific</x:t>
  </x:si>
  <x:si>
    <x:t xml:space="preserve">Company Closed</x:t>
  </x:si>
  <x:si>
    <x:t xml:space="preserve">CUST-0012</x:t>
  </x:si>
  <x:si>
    <x:t xml:space="preserve">CUST-0013</x:t>
  </x:si>
  <x:si>
    <x:t xml:space="preserve">CUST-0014</x:t>
  </x:si>
  <x:si>
    <x:t xml:space="preserve">Paid Ads</x:t>
  </x:si>
  <x:si>
    <x:t xml:space="preserve">CUST-0015</x:t>
  </x:si>
  <x:si>
    <x:t xml:space="preserve">Education</x:t>
  </x:si>
  <x:si>
    <x:t xml:space="preserve">No Longer Needed</x:t>
  </x:si>
  <x:si>
    <x:t xml:space="preserve">CUST-0016</x:t>
  </x:si>
  <x:si>
    <x:t xml:space="preserve">CUST-0017</x:t>
  </x:si>
  <x:si>
    <x:t xml:space="preserve">CUST-0018</x:t>
  </x:si>
  <x:si>
    <x:t xml:space="preserve">CUST-0019</x:t>
  </x:si>
  <x:si>
    <x:t xml:space="preserve">Legal</x:t>
  </x:si>
  <x:si>
    <x:t xml:space="preserve">Latin America</x:t>
  </x:si>
  <x:si>
    <x:t xml:space="preserve">CUST-0020</x:t>
  </x:si>
  <x:si>
    <x:t xml:space="preserve">Enterprise</x:t>
  </x:si>
  <x:si>
    <x:t xml:space="preserve">CUST-0021</x:t>
  </x:si>
  <x:si>
    <x:t xml:space="preserve">CUST-0022</x:t>
  </x:si>
  <x:si>
    <x:t xml:space="preserve">CUST-0023</x:t>
  </x:si>
  <x:si>
    <x:t xml:space="preserve">CUST-0024</x:t>
  </x:si>
  <x:si>
    <x:t xml:space="preserve">CUST-0025</x:t>
  </x:si>
  <x:si>
    <x:t xml:space="preserve">CUST-0026</x:t>
  </x:si>
  <x:si>
    <x:t xml:space="preserve">CUST-0027</x:t>
  </x:si>
  <x:si>
    <x:t xml:space="preserve">Consulting</x:t>
  </x:si>
  <x:si>
    <x:t xml:space="preserve">CUST-0028</x:t>
  </x:si>
  <x:si>
    <x:t xml:space="preserve">CUST-0029</x:t>
  </x:si>
  <x:si>
    <x:t xml:space="preserve">Missing Features</x:t>
  </x:si>
  <x:si>
    <x:t xml:space="preserve">CUST-0030</x:t>
  </x:si>
  <x:si>
    <x:t xml:space="preserve">CUST-0031</x:t>
  </x:si>
  <x:si>
    <x:t xml:space="preserve">CUST-0032</x:t>
  </x:si>
  <x:si>
    <x:t xml:space="preserve">CUST-0033</x:t>
  </x:si>
  <x:si>
    <x:t xml:space="preserve">CUST-0034</x:t>
  </x:si>
  <x:si>
    <x:t xml:space="preserve">CUST-0035</x:t>
  </x:si>
  <x:si>
    <x:t xml:space="preserve">CUST-0036</x:t>
  </x:si>
  <x:si>
    <x:t xml:space="preserve">CUST-0037</x:t>
  </x:si>
  <x:si>
    <x:t xml:space="preserve">CUST-0038</x:t>
  </x:si>
  <x:si>
    <x:t xml:space="preserve">CUST-0039</x:t>
  </x:si>
  <x:si>
    <x:t xml:space="preserve">CUST-0040</x:t>
  </x:si>
  <x:si>
    <x:t xml:space="preserve">CUST-0041</x:t>
  </x:si>
  <x:si>
    <x:t xml:space="preserve">CUST-0042</x:t>
  </x:si>
  <x:si>
    <x:t xml:space="preserve">CUST-0043</x:t>
  </x:si>
  <x:si>
    <x:t xml:space="preserve">CUST-0044</x:t>
  </x:si>
  <x:si>
    <x:t xml:space="preserve">Social Media</x:t>
  </x:si>
  <x:si>
    <x:t xml:space="preserve">CUST-0045</x:t>
  </x:si>
  <x:si>
    <x:t xml:space="preserve">CUST-0046</x:t>
  </x:si>
  <x:si>
    <x:t xml:space="preserve">CUST-0047</x:t>
  </x:si>
  <x:si>
    <x:t xml:space="preserve">CUST-0048</x:t>
  </x:si>
  <x:si>
    <x:t xml:space="preserve">CUST-0049</x:t>
  </x:si>
  <x:si>
    <x:t xml:space="preserve">CUST-0050</x:t>
  </x:si>
  <x:si>
    <x:t xml:space="preserve">CUST-0051</x:t>
  </x:si>
  <x:si>
    <x:t xml:space="preserve">CUST-0052</x:t>
  </x:si>
  <x:si>
    <x:t xml:space="preserve">CUST-0053</x:t>
  </x:si>
  <x:si>
    <x:t xml:space="preserve">CUST-0054</x:t>
  </x:si>
  <x:si>
    <x:t xml:space="preserve">CUST-0055</x:t>
  </x:si>
  <x:si>
    <x:t xml:space="preserve">CUST-0056</x:t>
  </x:si>
  <x:si>
    <x:t xml:space="preserve">CUST-0057</x:t>
  </x:si>
  <x:si>
    <x:t xml:space="preserve">CUST-0058</x:t>
  </x:si>
  <x:si>
    <x:t xml:space="preserve">CUST-0059</x:t>
  </x:si>
  <x:si>
    <x:t xml:space="preserve">CUST-0060</x:t>
  </x:si>
  <x:si>
    <x:t xml:space="preserve">CUST-0061</x:t>
  </x:si>
  <x:si>
    <x:t xml:space="preserve">CUST-0062</x:t>
  </x:si>
  <x:si>
    <x:t xml:space="preserve">CUST-0063</x:t>
  </x:si>
  <x:si>
    <x:t xml:space="preserve">CUST-0064</x:t>
  </x:si>
  <x:si>
    <x:t xml:space="preserve">CUST-0065</x:t>
  </x:si>
  <x:si>
    <x:t xml:space="preserve">CUST-0066</x:t>
  </x:si>
  <x:si>
    <x:t xml:space="preserve">CUST-0067</x:t>
  </x:si>
  <x:si>
    <x:t xml:space="preserve">CUST-0068</x:t>
  </x:si>
  <x:si>
    <x:t xml:space="preserve">CUST-0069</x:t>
  </x:si>
  <x:si>
    <x:t xml:space="preserve">CUST-0070</x:t>
  </x:si>
  <x:si>
    <x:t xml:space="preserve">CUST-0071</x:t>
  </x:si>
  <x:si>
    <x:t xml:space="preserve">CUST-0072</x:t>
  </x:si>
  <x:si>
    <x:t xml:space="preserve">CUST-0073</x:t>
  </x:si>
  <x:si>
    <x:t xml:space="preserve">CUST-0074</x:t>
  </x:si>
  <x:si>
    <x:t xml:space="preserve">CUST-0075</x:t>
  </x:si>
  <x:si>
    <x:t xml:space="preserve">CUST-0076</x:t>
  </x:si>
  <x:si>
    <x:t xml:space="preserve">CUST-0077</x:t>
  </x:si>
  <x:si>
    <x:t xml:space="preserve">CUST-0078</x:t>
  </x:si>
  <x:si>
    <x:t xml:space="preserve">CUST-0079</x:t>
  </x:si>
  <x:si>
    <x:t xml:space="preserve">CUST-0080</x:t>
  </x:si>
  <x:si>
    <x:t xml:space="preserve">CUST-0081</x:t>
  </x:si>
  <x:si>
    <x:t xml:space="preserve">CUST-0082</x:t>
  </x:si>
  <x:si>
    <x:t xml:space="preserve">CUST-0083</x:t>
  </x:si>
  <x:si>
    <x:t xml:space="preserve">CUST-0084</x:t>
  </x:si>
  <x:si>
    <x:t xml:space="preserve">CUST-0085</x:t>
  </x:si>
  <x:si>
    <x:t xml:space="preserve">CUST-0086</x:t>
  </x:si>
  <x:si>
    <x:t xml:space="preserve">CUST-0087</x:t>
  </x:si>
  <x:si>
    <x:t xml:space="preserve">CUST-0088</x:t>
  </x:si>
  <x:si>
    <x:t xml:space="preserve">CUST-0089</x:t>
  </x:si>
  <x:si>
    <x:t xml:space="preserve">CUST-0090</x:t>
  </x:si>
  <x:si>
    <x:t xml:space="preserve">CUST-0091</x:t>
  </x:si>
  <x:si>
    <x:t xml:space="preserve">CUST-0092</x:t>
  </x:si>
  <x:si>
    <x:t xml:space="preserve">CUST-0093</x:t>
  </x:si>
  <x:si>
    <x:t xml:space="preserve">CUST-0094</x:t>
  </x:si>
  <x:si>
    <x:t xml:space="preserve">CUST-0095</x:t>
  </x:si>
  <x:si>
    <x:t xml:space="preserve">CUST-0096</x:t>
  </x:si>
  <x:si>
    <x:t xml:space="preserve">CUST-0097</x:t>
  </x:si>
  <x:si>
    <x:t xml:space="preserve">CUST-0098</x:t>
  </x:si>
  <x:si>
    <x:t xml:space="preserve">CUST-0099</x:t>
  </x:si>
  <x:si>
    <x:t xml:space="preserve">CUST-0100</x:t>
  </x:si>
  <x:si>
    <x:t xml:space="preserve">CUST-0101</x:t>
  </x:si>
  <x:si>
    <x:t xml:space="preserve">CUST-0102</x:t>
  </x:si>
  <x:si>
    <x:t xml:space="preserve">CUST-0103</x:t>
  </x:si>
  <x:si>
    <x:t xml:space="preserve">CUST-0104</x:t>
  </x:si>
  <x:si>
    <x:t xml:space="preserve">CUST-0105</x:t>
  </x:si>
  <x:si>
    <x:t xml:space="preserve">CUST-0106</x:t>
  </x:si>
  <x:si>
    <x:t xml:space="preserve">CUST-0107</x:t>
  </x:si>
  <x:si>
    <x:t xml:space="preserve">CUST-0108</x:t>
  </x:si>
  <x:si>
    <x:t xml:space="preserve">CUST-0109</x:t>
  </x:si>
  <x:si>
    <x:t xml:space="preserve">CUST-0110</x:t>
  </x:si>
  <x:si>
    <x:t xml:space="preserve">CUST-0111</x:t>
  </x:si>
  <x:si>
    <x:t xml:space="preserve">CUST-0112</x:t>
  </x:si>
  <x:si>
    <x:t xml:space="preserve">CUST-0113</x:t>
  </x:si>
  <x:si>
    <x:t xml:space="preserve">CUST-0114</x:t>
  </x:si>
  <x:si>
    <x:t xml:space="preserve">CUST-0115</x:t>
  </x:si>
  <x:si>
    <x:t xml:space="preserve">CUST-0116</x:t>
  </x:si>
  <x:si>
    <x:t xml:space="preserve">CUST-0117</x:t>
  </x:si>
  <x:si>
    <x:t xml:space="preserve">CUST-0118</x:t>
  </x:si>
  <x:si>
    <x:t xml:space="preserve">CUST-0119</x:t>
  </x:si>
  <x:si>
    <x:t xml:space="preserve">CUST-0120</x:t>
  </x:si>
  <x:si>
    <x:t xml:space="preserve">CUST-0121</x:t>
  </x:si>
  <x:si>
    <x:t xml:space="preserve">CUST-0122</x:t>
  </x:si>
  <x:si>
    <x:t xml:space="preserve">CUST-0123</x:t>
  </x:si>
  <x:si>
    <x:t xml:space="preserve">CUST-0124</x:t>
  </x:si>
  <x:si>
    <x:t xml:space="preserve">CUST-0125</x:t>
  </x:si>
  <x:si>
    <x:t xml:space="preserve">CUST-0126</x:t>
  </x:si>
  <x:si>
    <x:t xml:space="preserve">CUST-0127</x:t>
  </x:si>
  <x:si>
    <x:t xml:space="preserve">CUST-0128</x:t>
  </x:si>
  <x:si>
    <x:t xml:space="preserve">CUST-0129</x:t>
  </x:si>
  <x:si>
    <x:t xml:space="preserve">CUST-0130</x:t>
  </x:si>
  <x:si>
    <x:t xml:space="preserve">CUST-0131</x:t>
  </x:si>
  <x:si>
    <x:t xml:space="preserve">CUST-0132</x:t>
  </x:si>
  <x:si>
    <x:t xml:space="preserve">CUST-0133</x:t>
  </x:si>
  <x:si>
    <x:t xml:space="preserve">CUST-0134</x:t>
  </x:si>
  <x:si>
    <x:t xml:space="preserve">CUST-0135</x:t>
  </x:si>
  <x:si>
    <x:t xml:space="preserve">CUST-0136</x:t>
  </x:si>
  <x:si>
    <x:t xml:space="preserve">CUST-0137</x:t>
  </x:si>
  <x:si>
    <x:t xml:space="preserve">CUST-0138</x:t>
  </x:si>
  <x:si>
    <x:t xml:space="preserve">CUST-0139</x:t>
  </x:si>
  <x:si>
    <x:t xml:space="preserve">CUST-0140</x:t>
  </x:si>
  <x:si>
    <x:t xml:space="preserve">CUST-0141</x:t>
  </x:si>
  <x:si>
    <x:t xml:space="preserve">CUST-0142</x:t>
  </x:si>
  <x:si>
    <x:t xml:space="preserve">CUST-0143</x:t>
  </x:si>
  <x:si>
    <x:t xml:space="preserve">CUST-0144</x:t>
  </x:si>
  <x:si>
    <x:t xml:space="preserve">CUST-0145</x:t>
  </x:si>
  <x:si>
    <x:t xml:space="preserve">CUST-0146</x:t>
  </x:si>
  <x:si>
    <x:t xml:space="preserve">CUST-0147</x:t>
  </x:si>
  <x:si>
    <x:t xml:space="preserve">CUST-0148</x:t>
  </x:si>
  <x:si>
    <x:t xml:space="preserve">CUST-0149</x:t>
  </x:si>
  <x:si>
    <x:t xml:space="preserve">CUST-0150</x:t>
  </x:si>
  <x:si>
    <x:t xml:space="preserve">CUST-0151</x:t>
  </x:si>
  <x:si>
    <x:t xml:space="preserve">CUST-0152</x:t>
  </x:si>
  <x:si>
    <x:t xml:space="preserve">CUST-0153</x:t>
  </x:si>
  <x:si>
    <x:t xml:space="preserve">CUST-0154</x:t>
  </x:si>
  <x:si>
    <x:t xml:space="preserve">CUST-0155</x:t>
  </x:si>
  <x:si>
    <x:t xml:space="preserve">CUST-0156</x:t>
  </x:si>
  <x:si>
    <x:t xml:space="preserve">CUST-0157</x:t>
  </x:si>
  <x:si>
    <x:t xml:space="preserve">CUST-0158</x:t>
  </x:si>
  <x:si>
    <x:t xml:space="preserve">CUST-0159</x:t>
  </x:si>
  <x:si>
    <x:t xml:space="preserve">CUST-0160</x:t>
  </x:si>
  <x:si>
    <x:t xml:space="preserve">CUST-0161</x:t>
  </x:si>
  <x:si>
    <x:t xml:space="preserve">CUST-0162</x:t>
  </x:si>
  <x:si>
    <x:t xml:space="preserve">CUST-0163</x:t>
  </x:si>
  <x:si>
    <x:t xml:space="preserve">CUST-0164</x:t>
  </x:si>
  <x:si>
    <x:t xml:space="preserve">CUST-0165</x:t>
  </x:si>
  <x:si>
    <x:t xml:space="preserve">CUST-0166</x:t>
  </x:si>
  <x:si>
    <x:t xml:space="preserve">CUST-0167</x:t>
  </x:si>
  <x:si>
    <x:t xml:space="preserve">CUST-0168</x:t>
  </x:si>
  <x:si>
    <x:t xml:space="preserve">CUST-0169</x:t>
  </x:si>
  <x:si>
    <x:t xml:space="preserve">CUST-0170</x:t>
  </x:si>
  <x:si>
    <x:t xml:space="preserve">CUST-0171</x:t>
  </x:si>
  <x:si>
    <x:t xml:space="preserve">CUST-0172</x:t>
  </x:si>
  <x:si>
    <x:t xml:space="preserve">CUST-0173</x:t>
  </x:si>
  <x:si>
    <x:t xml:space="preserve">CUST-0174</x:t>
  </x:si>
  <x:si>
    <x:t xml:space="preserve">CUST-0175</x:t>
  </x:si>
  <x:si>
    <x:t xml:space="preserve">CUST-0176</x:t>
  </x:si>
  <x:si>
    <x:t xml:space="preserve">CUST-0177</x:t>
  </x:si>
  <x:si>
    <x:t xml:space="preserve">CUST-0178</x:t>
  </x:si>
  <x:si>
    <x:t xml:space="preserve">CUST-0179</x:t>
  </x:si>
  <x:si>
    <x:t xml:space="preserve">CUST-0180</x:t>
  </x:si>
  <x:si>
    <x:t xml:space="preserve">CUST-0181</x:t>
  </x:si>
  <x:si>
    <x:t xml:space="preserve">CUST-0182</x:t>
  </x:si>
  <x:si>
    <x:t xml:space="preserve">CUST-0183</x:t>
  </x:si>
  <x:si>
    <x:t xml:space="preserve">CUST-0184</x:t>
  </x:si>
  <x:si>
    <x:t xml:space="preserve">CUST-0185</x:t>
  </x:si>
  <x:si>
    <x:t xml:space="preserve">CUST-0186</x:t>
  </x:si>
  <x:si>
    <x:t xml:space="preserve">CUST-0187</x:t>
  </x:si>
  <x:si>
    <x:t xml:space="preserve">CUST-0188</x:t>
  </x:si>
  <x:si>
    <x:t xml:space="preserve">CUST-0189</x:t>
  </x:si>
  <x:si>
    <x:t xml:space="preserve">CUST-0190</x:t>
  </x:si>
  <x:si>
    <x:t xml:space="preserve">CUST-0191</x:t>
  </x:si>
  <x:si>
    <x:t xml:space="preserve">CUST-0192</x:t>
  </x:si>
  <x:si>
    <x:t xml:space="preserve">CUST-0193</x:t>
  </x:si>
  <x:si>
    <x:t xml:space="preserve">CUST-0194</x:t>
  </x:si>
  <x:si>
    <x:t xml:space="preserve">CUST-0195</x:t>
  </x:si>
  <x:si>
    <x:t xml:space="preserve">CUST-0196</x:t>
  </x:si>
  <x:si>
    <x:t xml:space="preserve">CUST-0197</x:t>
  </x:si>
  <x:si>
    <x:t xml:space="preserve">CUST-0198</x:t>
  </x:si>
  <x:si>
    <x:t xml:space="preserve">CUST-0199</x:t>
  </x:si>
  <x:si>
    <x:t xml:space="preserve">CUST-0200</x:t>
  </x:si>
  <x:si>
    <x:t xml:space="preserve">CUST-0201</x:t>
  </x:si>
  <x:si>
    <x:t xml:space="preserve">CUST-0202</x:t>
  </x:si>
  <x:si>
    <x:t xml:space="preserve">CUST-0203</x:t>
  </x:si>
  <x:si>
    <x:t xml:space="preserve">CUST-0204</x:t>
  </x:si>
  <x:si>
    <x:t xml:space="preserve">CUST-0205</x:t>
  </x:si>
  <x:si>
    <x:t xml:space="preserve">CUST-0206</x:t>
  </x:si>
  <x:si>
    <x:t xml:space="preserve">CUST-0207</x:t>
  </x:si>
  <x:si>
    <x:t xml:space="preserve">CUST-0208</x:t>
  </x:si>
  <x:si>
    <x:t xml:space="preserve">CUST-0209</x:t>
  </x:si>
  <x:si>
    <x:t xml:space="preserve">CUST-0210</x:t>
  </x:si>
  <x:si>
    <x:t xml:space="preserve">CUST-0211</x:t>
  </x:si>
  <x:si>
    <x:t xml:space="preserve">CUST-0212</x:t>
  </x:si>
  <x:si>
    <x:t xml:space="preserve">CUST-0213</x:t>
  </x:si>
  <x:si>
    <x:t xml:space="preserve">CUST-0214</x:t>
  </x:si>
  <x:si>
    <x:t xml:space="preserve">CUST-0215</x:t>
  </x:si>
  <x:si>
    <x:t xml:space="preserve">CUST-0216</x:t>
  </x:si>
  <x:si>
    <x:t xml:space="preserve">CUST-0217</x:t>
  </x:si>
  <x:si>
    <x:t xml:space="preserve">CUST-0218</x:t>
  </x:si>
  <x:si>
    <x:t xml:space="preserve">CUST-0219</x:t>
  </x:si>
  <x:si>
    <x:t xml:space="preserve">CUST-0220</x:t>
  </x:si>
  <x:si>
    <x:t xml:space="preserve">CUST-0221</x:t>
  </x:si>
  <x:si>
    <x:t xml:space="preserve">CUST-0222</x:t>
  </x:si>
  <x:si>
    <x:t xml:space="preserve">CUST-0223</x:t>
  </x:si>
  <x:si>
    <x:t xml:space="preserve">CUST-0224</x:t>
  </x:si>
  <x:si>
    <x:t xml:space="preserve">CUST-0225</x:t>
  </x:si>
  <x:si>
    <x:t xml:space="preserve">CUST-0226</x:t>
  </x:si>
  <x:si>
    <x:t xml:space="preserve">CUST-0227</x:t>
  </x:si>
  <x:si>
    <x:t xml:space="preserve">CUST-0228</x:t>
  </x:si>
  <x:si>
    <x:t xml:space="preserve">CUST-0229</x:t>
  </x:si>
  <x:si>
    <x:t xml:space="preserve">CUST-0230</x:t>
  </x:si>
  <x:si>
    <x:t xml:space="preserve">CUST-0231</x:t>
  </x:si>
  <x:si>
    <x:t xml:space="preserve">CUST-0232</x:t>
  </x:si>
  <x:si>
    <x:t xml:space="preserve">CUST-0233</x:t>
  </x:si>
  <x:si>
    <x:t xml:space="preserve">CUST-0234</x:t>
  </x:si>
  <x:si>
    <x:t xml:space="preserve">CUST-0235</x:t>
  </x:si>
  <x:si>
    <x:t xml:space="preserve">CUST-0236</x:t>
  </x:si>
  <x:si>
    <x:t xml:space="preserve">CUST-0237</x:t>
  </x:si>
  <x:si>
    <x:t xml:space="preserve">CUST-0238</x:t>
  </x:si>
  <x:si>
    <x:t xml:space="preserve">CUST-0239</x:t>
  </x:si>
  <x:si>
    <x:t xml:space="preserve">CUST-0240</x:t>
  </x:si>
  <x:si>
    <x:t xml:space="preserve">CUST-0241</x:t>
  </x:si>
  <x:si>
    <x:t xml:space="preserve">CUST-0242</x:t>
  </x:si>
  <x:si>
    <x:t xml:space="preserve">CUST-0243</x:t>
  </x:si>
  <x:si>
    <x:t xml:space="preserve">CUST-0244</x:t>
  </x:si>
  <x:si>
    <x:t xml:space="preserve">CUST-0245</x:t>
  </x:si>
  <x:si>
    <x:t xml:space="preserve">CUST-0246</x:t>
  </x:si>
  <x:si>
    <x:t xml:space="preserve">CUST-0247</x:t>
  </x:si>
  <x:si>
    <x:t xml:space="preserve">CUST-0248</x:t>
  </x:si>
  <x:si>
    <x:t xml:space="preserve">CUST-0249</x:t>
  </x:si>
  <x:si>
    <x:t xml:space="preserve">CUST-0250</x:t>
  </x:si>
  <x:si>
    <x:t xml:space="preserve">CUST-0251</x:t>
  </x:si>
  <x:si>
    <x:t xml:space="preserve">CUST-0252</x:t>
  </x:si>
  <x:si>
    <x:t xml:space="preserve">CUST-0253</x:t>
  </x:si>
  <x:si>
    <x:t xml:space="preserve">CUST-0254</x:t>
  </x:si>
  <x:si>
    <x:t xml:space="preserve">CUST-0255</x:t>
  </x:si>
  <x:si>
    <x:t xml:space="preserve">CUST-0256</x:t>
  </x:si>
  <x:si>
    <x:t xml:space="preserve">CUST-0257</x:t>
  </x:si>
  <x:si>
    <x:t xml:space="preserve">CUST-0258</x:t>
  </x:si>
  <x:si>
    <x:t xml:space="preserve">CUST-0259</x:t>
  </x:si>
  <x:si>
    <x:t xml:space="preserve">CUST-0260</x:t>
  </x:si>
  <x:si>
    <x:t xml:space="preserve">CUST-0261</x:t>
  </x:si>
  <x:si>
    <x:t xml:space="preserve">CUST-0262</x:t>
  </x:si>
  <x:si>
    <x:t xml:space="preserve">CUST-0263</x:t>
  </x:si>
  <x:si>
    <x:t xml:space="preserve">CUST-0264</x:t>
  </x:si>
  <x:si>
    <x:t xml:space="preserve">CUST-0265</x:t>
  </x:si>
  <x:si>
    <x:t xml:space="preserve">CUST-0266</x:t>
  </x:si>
  <x:si>
    <x:t xml:space="preserve">CUST-0267</x:t>
  </x:si>
  <x:si>
    <x:t xml:space="preserve">CUST-0268</x:t>
  </x:si>
  <x:si>
    <x:t xml:space="preserve">CUST-0269</x:t>
  </x:si>
  <x:si>
    <x:t xml:space="preserve">CUST-0270</x:t>
  </x:si>
  <x:si>
    <x:t xml:space="preserve">CUST-0271</x:t>
  </x:si>
  <x:si>
    <x:t xml:space="preserve">CUST-0272</x:t>
  </x:si>
  <x:si>
    <x:t xml:space="preserve">CUST-0273</x:t>
  </x:si>
  <x:si>
    <x:t xml:space="preserve">CUST-0274</x:t>
  </x:si>
  <x:si>
    <x:t xml:space="preserve">CUST-0275</x:t>
  </x:si>
  <x:si>
    <x:t xml:space="preserve">CUST-0276</x:t>
  </x:si>
  <x:si>
    <x:t xml:space="preserve">CUST-0277</x:t>
  </x:si>
  <x:si>
    <x:t xml:space="preserve">CUST-0278</x:t>
  </x:si>
  <x:si>
    <x:t xml:space="preserve">CUST-0279</x:t>
  </x:si>
  <x:si>
    <x:t xml:space="preserve">CUST-0280</x:t>
  </x:si>
  <x:si>
    <x:t xml:space="preserve">CUST-0281</x:t>
  </x:si>
  <x:si>
    <x:t xml:space="preserve">CUST-0282</x:t>
  </x:si>
  <x:si>
    <x:t xml:space="preserve">CUST-0283</x:t>
  </x:si>
  <x:si>
    <x:t xml:space="preserve">CUST-0284</x:t>
  </x:si>
  <x:si>
    <x:t xml:space="preserve">CUST-0285</x:t>
  </x:si>
  <x:si>
    <x:t xml:space="preserve">CUST-0286</x:t>
  </x:si>
  <x:si>
    <x:t xml:space="preserve">CUST-0287</x:t>
  </x:si>
  <x:si>
    <x:t xml:space="preserve">CUST-0288</x:t>
  </x:si>
  <x:si>
    <x:t xml:space="preserve">CUST-0289</x:t>
  </x:si>
  <x:si>
    <x:t xml:space="preserve">CUST-0290</x:t>
  </x:si>
  <x:si>
    <x:t xml:space="preserve">CUST-0291</x:t>
  </x:si>
  <x:si>
    <x:t xml:space="preserve">CUST-0292</x:t>
  </x:si>
  <x:si>
    <x:t xml:space="preserve">CUST-0293</x:t>
  </x:si>
  <x:si>
    <x:t xml:space="preserve">CUST-0294</x:t>
  </x:si>
  <x:si>
    <x:t xml:space="preserve">CUST-0295</x:t>
  </x:si>
  <x:si>
    <x:t xml:space="preserve">CUST-0296</x:t>
  </x:si>
  <x:si>
    <x:t xml:space="preserve">CUST-0297</x:t>
  </x:si>
  <x:si>
    <x:t xml:space="preserve">CUST-0298</x:t>
  </x:si>
  <x:si>
    <x:t xml:space="preserve">CUST-0299</x:t>
  </x:si>
  <x:si>
    <x:t xml:space="preserve">CUST-0300</x:t>
  </x:si>
  <x:si>
    <x:t xml:space="preserve">CUST-0301</x:t>
  </x:si>
  <x:si>
    <x:t xml:space="preserve">CUST-0302</x:t>
  </x:si>
  <x:si>
    <x:t xml:space="preserve">CUST-0303</x:t>
  </x:si>
  <x:si>
    <x:t xml:space="preserve">CUST-0304</x:t>
  </x:si>
  <x:si>
    <x:t xml:space="preserve">CUST-0305</x:t>
  </x:si>
  <x:si>
    <x:t xml:space="preserve">CUST-0306</x:t>
  </x:si>
  <x:si>
    <x:t xml:space="preserve">CUST-0307</x:t>
  </x:si>
  <x:si>
    <x:t xml:space="preserve">CUST-0308</x:t>
  </x:si>
  <x:si>
    <x:t xml:space="preserve">CUST-0309</x:t>
  </x:si>
  <x:si>
    <x:t xml:space="preserve">CUST-0310</x:t>
  </x:si>
  <x:si>
    <x:t xml:space="preserve">CUST-0311</x:t>
  </x:si>
  <x:si>
    <x:t xml:space="preserve">CUST-0312</x:t>
  </x:si>
  <x:si>
    <x:t xml:space="preserve">CUST-0313</x:t>
  </x:si>
  <x:si>
    <x:t xml:space="preserve">CUST-0314</x:t>
  </x:si>
  <x:si>
    <x:t xml:space="preserve">CUST-0315</x:t>
  </x:si>
  <x:si>
    <x:t xml:space="preserve">CUST-0316</x:t>
  </x:si>
  <x:si>
    <x:t xml:space="preserve">CUST-0317</x:t>
  </x:si>
  <x:si>
    <x:t xml:space="preserve">CUST-0318</x:t>
  </x:si>
  <x:si>
    <x:t xml:space="preserve">CUST-0319</x:t>
  </x:si>
  <x:si>
    <x:t xml:space="preserve">CUST-0320</x:t>
  </x:si>
  <x:si>
    <x:t xml:space="preserve">CUST-0321</x:t>
  </x:si>
  <x:si>
    <x:t xml:space="preserve">CUST-0322</x:t>
  </x:si>
  <x:si>
    <x:t xml:space="preserve">CUST-0323</x:t>
  </x:si>
  <x:si>
    <x:t xml:space="preserve">CUST-0324</x:t>
  </x:si>
  <x:si>
    <x:t xml:space="preserve">CUST-0325</x:t>
  </x:si>
  <x:si>
    <x:t xml:space="preserve">CUST-0326</x:t>
  </x:si>
  <x:si>
    <x:t xml:space="preserve">CUST-0327</x:t>
  </x:si>
  <x:si>
    <x:t xml:space="preserve">CUST-0328</x:t>
  </x:si>
  <x:si>
    <x:t xml:space="preserve">CUST-0329</x:t>
  </x:si>
  <x:si>
    <x:t xml:space="preserve">CUST-0330</x:t>
  </x:si>
  <x:si>
    <x:t xml:space="preserve">CUST-0331</x:t>
  </x:si>
  <x:si>
    <x:t xml:space="preserve">CUST-0332</x:t>
  </x:si>
  <x:si>
    <x:t xml:space="preserve">CUST-0333</x:t>
  </x:si>
  <x:si>
    <x:t xml:space="preserve">CUST-0334</x:t>
  </x:si>
  <x:si>
    <x:t xml:space="preserve">CUST-0335</x:t>
  </x:si>
  <x:si>
    <x:t xml:space="preserve">CUST-0336</x:t>
  </x:si>
  <x:si>
    <x:t xml:space="preserve">CUST-0337</x:t>
  </x:si>
  <x:si>
    <x:t xml:space="preserve">CUST-0338</x:t>
  </x:si>
  <x:si>
    <x:t xml:space="preserve">CUST-0339</x:t>
  </x:si>
  <x:si>
    <x:t xml:space="preserve">CUST-0340</x:t>
  </x:si>
  <x:si>
    <x:t xml:space="preserve">CUST-0341</x:t>
  </x:si>
  <x:si>
    <x:t xml:space="preserve">CUST-0342</x:t>
  </x:si>
  <x:si>
    <x:t xml:space="preserve">CUST-0343</x:t>
  </x:si>
  <x:si>
    <x:t xml:space="preserve">CUST-0344</x:t>
  </x:si>
  <x:si>
    <x:t xml:space="preserve">CUST-0345</x:t>
  </x:si>
  <x:si>
    <x:t xml:space="preserve">CUST-0346</x:t>
  </x:si>
  <x:si>
    <x:t xml:space="preserve">CUST-0347</x:t>
  </x:si>
  <x:si>
    <x:t xml:space="preserve">CUST-0348</x:t>
  </x:si>
  <x:si>
    <x:t xml:space="preserve">CUST-0349</x:t>
  </x:si>
  <x:si>
    <x:t xml:space="preserve">CUST-0350</x:t>
  </x:si>
  <x:si>
    <x:t xml:space="preserve">CUST-0351</x:t>
  </x:si>
  <x:si>
    <x:t xml:space="preserve">CUST-0352</x:t>
  </x:si>
  <x:si>
    <x:t xml:space="preserve">CUST-0353</x:t>
  </x:si>
  <x:si>
    <x:t xml:space="preserve">CUST-0354</x:t>
  </x:si>
  <x:si>
    <x:t xml:space="preserve">CUST-0355</x:t>
  </x:si>
  <x:si>
    <x:t xml:space="preserve">CUST-0356</x:t>
  </x:si>
  <x:si>
    <x:t xml:space="preserve">CUST-0357</x:t>
  </x:si>
  <x:si>
    <x:t xml:space="preserve">CUST-0358</x:t>
  </x:si>
  <x:si>
    <x:t xml:space="preserve">CUST-0359</x:t>
  </x:si>
  <x:si>
    <x:t xml:space="preserve">CUST-0360</x:t>
  </x:si>
  <x:si>
    <x:t xml:space="preserve">CUST-0361</x:t>
  </x:si>
  <x:si>
    <x:t xml:space="preserve">CUST-0362</x:t>
  </x:si>
  <x:si>
    <x:t xml:space="preserve">CUST-0363</x:t>
  </x:si>
  <x:si>
    <x:t xml:space="preserve">CUST-0364</x:t>
  </x:si>
  <x:si>
    <x:t xml:space="preserve">CUST-0365</x:t>
  </x:si>
  <x:si>
    <x:t xml:space="preserve">CUST-0366</x:t>
  </x:si>
  <x:si>
    <x:t xml:space="preserve">CUST-0367</x:t>
  </x:si>
  <x:si>
    <x:t xml:space="preserve">CUST-0368</x:t>
  </x:si>
  <x:si>
    <x:t xml:space="preserve">CUST-0369</x:t>
  </x:si>
  <x:si>
    <x:t xml:space="preserve">CUST-0370</x:t>
  </x:si>
  <x:si>
    <x:t xml:space="preserve">CUST-0371</x:t>
  </x:si>
  <x:si>
    <x:t xml:space="preserve">CUST-0372</x:t>
  </x:si>
  <x:si>
    <x:t xml:space="preserve">CUST-0373</x:t>
  </x:si>
  <x:si>
    <x:t xml:space="preserve">CUST-0374</x:t>
  </x:si>
  <x:si>
    <x:t xml:space="preserve">CUST-0375</x:t>
  </x:si>
  <x:si>
    <x:t xml:space="preserve">CUST-0376</x:t>
  </x:si>
  <x:si>
    <x:t xml:space="preserve">CUST-0377</x:t>
  </x:si>
  <x:si>
    <x:t xml:space="preserve">CUST-0378</x:t>
  </x:si>
  <x:si>
    <x:t xml:space="preserve">CUST-0379</x:t>
  </x:si>
  <x:si>
    <x:t xml:space="preserve">CUST-0380</x:t>
  </x:si>
  <x:si>
    <x:t xml:space="preserve">CUST-0381</x:t>
  </x:si>
  <x:si>
    <x:t xml:space="preserve">CUST-0382</x:t>
  </x:si>
  <x:si>
    <x:t xml:space="preserve">CUST-0383</x:t>
  </x:si>
  <x:si>
    <x:t xml:space="preserve">CUST-0384</x:t>
  </x:si>
  <x:si>
    <x:t xml:space="preserve">CUST-0385</x:t>
  </x:si>
  <x:si>
    <x:t xml:space="preserve">CUST-0386</x:t>
  </x:si>
  <x:si>
    <x:t xml:space="preserve">CUST-0387</x:t>
  </x:si>
  <x:si>
    <x:t xml:space="preserve">CUST-0388</x:t>
  </x:si>
  <x:si>
    <x:t xml:space="preserve">CUST-0389</x:t>
  </x:si>
  <x:si>
    <x:t xml:space="preserve">CUST-0390</x:t>
  </x:si>
  <x:si>
    <x:t xml:space="preserve">CUST-0391</x:t>
  </x:si>
  <x:si>
    <x:t xml:space="preserve">CUST-0392</x:t>
  </x:si>
  <x:si>
    <x:t xml:space="preserve">CUST-0393</x:t>
  </x:si>
  <x:si>
    <x:t xml:space="preserve">CUST-0394</x:t>
  </x:si>
  <x:si>
    <x:t xml:space="preserve">CUST-0395</x:t>
  </x:si>
  <x:si>
    <x:t xml:space="preserve">CUST-0396</x:t>
  </x:si>
  <x:si>
    <x:t xml:space="preserve">CUST-0397</x:t>
  </x:si>
  <x:si>
    <x:t xml:space="preserve">CUST-0398</x:t>
  </x:si>
  <x:si>
    <x:t xml:space="preserve">CUST-0399</x:t>
  </x:si>
  <x:si>
    <x:t xml:space="preserve">CUST-0400</x:t>
  </x:si>
  <x:si>
    <x:t xml:space="preserve">CUST-0401</x:t>
  </x:si>
  <x:si>
    <x:t xml:space="preserve">CUST-0402</x:t>
  </x:si>
  <x:si>
    <x:t xml:space="preserve">CUST-0403</x:t>
  </x:si>
  <x:si>
    <x:t xml:space="preserve">CUST-0404</x:t>
  </x:si>
  <x:si>
    <x:t xml:space="preserve">CUST-0405</x:t>
  </x:si>
  <x:si>
    <x:t xml:space="preserve">CUST-0406</x:t>
  </x:si>
  <x:si>
    <x:t xml:space="preserve">CUST-0407</x:t>
  </x:si>
  <x:si>
    <x:t xml:space="preserve">CUST-0408</x:t>
  </x:si>
  <x:si>
    <x:t xml:space="preserve">CUST-0409</x:t>
  </x:si>
  <x:si>
    <x:t xml:space="preserve">CUST-0410</x:t>
  </x:si>
  <x:si>
    <x:t xml:space="preserve">CUST-0411</x:t>
  </x:si>
  <x:si>
    <x:t xml:space="preserve">CUST-0412</x:t>
  </x:si>
  <x:si>
    <x:t xml:space="preserve">CUST-0413</x:t>
  </x:si>
  <x:si>
    <x:t xml:space="preserve">CUST-0414</x:t>
  </x:si>
  <x:si>
    <x:t xml:space="preserve">CUST-0415</x:t>
  </x:si>
  <x:si>
    <x:t xml:space="preserve">CUST-0416</x:t>
  </x:si>
  <x:si>
    <x:t xml:space="preserve">CUST-0417</x:t>
  </x:si>
  <x:si>
    <x:t xml:space="preserve">CUST-0418</x:t>
  </x:si>
  <x:si>
    <x:t xml:space="preserve">CUST-0419</x:t>
  </x:si>
  <x:si>
    <x:t xml:space="preserve">CUST-0420</x:t>
  </x:si>
  <x:si>
    <x:t xml:space="preserve">CUST-0421</x:t>
  </x:si>
  <x:si>
    <x:t xml:space="preserve">CUST-0422</x:t>
  </x:si>
  <x:si>
    <x:t xml:space="preserve">CUST-0423</x:t>
  </x:si>
  <x:si>
    <x:t xml:space="preserve">CUST-0424</x:t>
  </x:si>
  <x:si>
    <x:t xml:space="preserve">CUST-0425</x:t>
  </x:si>
  <x:si>
    <x:t xml:space="preserve">CUST-0426</x:t>
  </x:si>
  <x:si>
    <x:t xml:space="preserve">CUST-0427</x:t>
  </x:si>
  <x:si>
    <x:t xml:space="preserve">CUST-0428</x:t>
  </x:si>
  <x:si>
    <x:t xml:space="preserve">CUST-0429</x:t>
  </x:si>
  <x:si>
    <x:t xml:space="preserve">CUST-0430</x:t>
  </x:si>
  <x:si>
    <x:t xml:space="preserve">CUST-0431</x:t>
  </x:si>
  <x:si>
    <x:t xml:space="preserve">CUST-0432</x:t>
  </x:si>
  <x:si>
    <x:t xml:space="preserve">CUST-0433</x:t>
  </x:si>
  <x:si>
    <x:t xml:space="preserve">CUST-0434</x:t>
  </x:si>
  <x:si>
    <x:t xml:space="preserve">CUST-0435</x:t>
  </x:si>
  <x:si>
    <x:t xml:space="preserve">CUST-0436</x:t>
  </x:si>
  <x:si>
    <x:t xml:space="preserve">CUST-0437</x:t>
  </x:si>
  <x:si>
    <x:t xml:space="preserve">CUST-0438</x:t>
  </x:si>
  <x:si>
    <x:t xml:space="preserve">CUST-0439</x:t>
  </x:si>
  <x:si>
    <x:t xml:space="preserve">CUST-0440</x:t>
  </x:si>
  <x:si>
    <x:t xml:space="preserve">CUST-0441</x:t>
  </x:si>
  <x:si>
    <x:t xml:space="preserve">CUST-0442</x:t>
  </x:si>
  <x:si>
    <x:t xml:space="preserve">CUST-0443</x:t>
  </x:si>
  <x:si>
    <x:t xml:space="preserve">CUST-0444</x:t>
  </x:si>
  <x:si>
    <x:t xml:space="preserve">CUST-0445</x:t>
  </x:si>
  <x:si>
    <x:t xml:space="preserve">CUST-0446</x:t>
  </x:si>
  <x:si>
    <x:t xml:space="preserve">CUST-0447</x:t>
  </x:si>
  <x:si>
    <x:t xml:space="preserve">CUST-0448</x:t>
  </x:si>
  <x:si>
    <x:t xml:space="preserve">CUST-0449</x:t>
  </x:si>
  <x:si>
    <x:t xml:space="preserve">CUST-0450</x:t>
  </x:si>
  <x:si>
    <x:t xml:space="preserve">CUST-0451</x:t>
  </x:si>
  <x:si>
    <x:t xml:space="preserve">CUST-0452</x:t>
  </x:si>
  <x:si>
    <x:t xml:space="preserve">CUST-0453</x:t>
  </x:si>
  <x:si>
    <x:t xml:space="preserve">CUST-0454</x:t>
  </x:si>
  <x:si>
    <x:t xml:space="preserve">CUST-0455</x:t>
  </x:si>
  <x:si>
    <x:t xml:space="preserve">CUST-0456</x:t>
  </x:si>
  <x:si>
    <x:t xml:space="preserve">CUST-0457</x:t>
  </x:si>
  <x:si>
    <x:t xml:space="preserve">CUST-0458</x:t>
  </x:si>
  <x:si>
    <x:t xml:space="preserve">CUST-0459</x:t>
  </x:si>
  <x:si>
    <x:t xml:space="preserve">CUST-0460</x:t>
  </x:si>
  <x:si>
    <x:t xml:space="preserve">CUST-0461</x:t>
  </x:si>
  <x:si>
    <x:t xml:space="preserve">CUST-0462</x:t>
  </x:si>
  <x:si>
    <x:t xml:space="preserve">CUST-0463</x:t>
  </x:si>
  <x:si>
    <x:t xml:space="preserve">CUST-0464</x:t>
  </x:si>
  <x:si>
    <x:t xml:space="preserve">CUST-0465</x:t>
  </x:si>
  <x:si>
    <x:t xml:space="preserve">CUST-0466</x:t>
  </x:si>
  <x:si>
    <x:t xml:space="preserve">CUST-0467</x:t>
  </x:si>
  <x:si>
    <x:t xml:space="preserve">CUST-0468</x:t>
  </x:si>
  <x:si>
    <x:t xml:space="preserve">CUST-0469</x:t>
  </x:si>
  <x:si>
    <x:t xml:space="preserve">CUST-0470</x:t>
  </x:si>
  <x:si>
    <x:t xml:space="preserve">CUST-0471</x:t>
  </x:si>
  <x:si>
    <x:t xml:space="preserve">CUST-0472</x:t>
  </x:si>
  <x:si>
    <x:t xml:space="preserve">CUST-0473</x:t>
  </x:si>
  <x:si>
    <x:t xml:space="preserve">CUST-0474</x:t>
  </x:si>
  <x:si>
    <x:t xml:space="preserve">CUST-0475</x:t>
  </x:si>
  <x:si>
    <x:t xml:space="preserve">CUST-0476</x:t>
  </x:si>
  <x:si>
    <x:t xml:space="preserve">CUST-0477</x:t>
  </x:si>
  <x:si>
    <x:t xml:space="preserve">CUST-0478</x:t>
  </x:si>
  <x:si>
    <x:t xml:space="preserve">CUST-0479</x:t>
  </x:si>
  <x:si>
    <x:t xml:space="preserve">CUST-0480</x:t>
  </x:si>
  <x:si>
    <x:t xml:space="preserve">CUST-0481</x:t>
  </x:si>
  <x:si>
    <x:t xml:space="preserve">CUST-0482</x:t>
  </x:si>
  <x:si>
    <x:t xml:space="preserve">CUST-0483</x:t>
  </x:si>
  <x:si>
    <x:t xml:space="preserve">CUST-0484</x:t>
  </x:si>
  <x:si>
    <x:t xml:space="preserve">CUST-0485</x:t>
  </x:si>
  <x:si>
    <x:t xml:space="preserve">CUST-0486</x:t>
  </x:si>
  <x:si>
    <x:t xml:space="preserve">CUST-0487</x:t>
  </x:si>
  <x:si>
    <x:t xml:space="preserve">CUST-0488</x:t>
  </x:si>
  <x:si>
    <x:t xml:space="preserve">CUST-0489</x:t>
  </x:si>
  <x:si>
    <x:t xml:space="preserve">CUST-0490</x:t>
  </x:si>
  <x:si>
    <x:t xml:space="preserve">CUST-0491</x:t>
  </x:si>
  <x:si>
    <x:t xml:space="preserve">CUST-0492</x:t>
  </x:si>
  <x:si>
    <x:t xml:space="preserve">CUST-0493</x:t>
  </x:si>
  <x:si>
    <x:t xml:space="preserve">CUST-0494</x:t>
  </x:si>
  <x:si>
    <x:t xml:space="preserve">CUST-0495</x:t>
  </x:si>
  <x:si>
    <x:t xml:space="preserve">CUST-0496</x:t>
  </x:si>
  <x:si>
    <x:t xml:space="preserve">CUST-0497</x:t>
  </x:si>
  <x:si>
    <x:t xml:space="preserve">CUST-0498</x:t>
  </x:si>
  <x:si>
    <x:t xml:space="preserve">CUST-0499</x:t>
  </x:si>
  <x:si>
    <x:t xml:space="preserve">CUST-0500</x:t>
  </x:si>
  <x:si>
    <x:t xml:space="preserve">CUST-0501</x:t>
  </x:si>
  <x:si>
    <x:t xml:space="preserve">CUST-0502</x:t>
  </x:si>
  <x:si>
    <x:t xml:space="preserve">CUST-0503</x:t>
  </x:si>
  <x:si>
    <x:t xml:space="preserve">CUST-0504</x:t>
  </x:si>
  <x:si>
    <x:t xml:space="preserve">CUST-0505</x:t>
  </x:si>
  <x:si>
    <x:t xml:space="preserve">CUST-0506</x:t>
  </x:si>
  <x:si>
    <x:t xml:space="preserve">CUST-0507</x:t>
  </x:si>
  <x:si>
    <x:t xml:space="preserve">CUST-0508</x:t>
  </x:si>
  <x:si>
    <x:t xml:space="preserve">CUST-0509</x:t>
  </x:si>
  <x:si>
    <x:t xml:space="preserve">CUST-0510</x:t>
  </x:si>
  <x:si>
    <x:t xml:space="preserve">CUST-0511</x:t>
  </x:si>
  <x:si>
    <x:t xml:space="preserve">CUST-0512</x:t>
  </x:si>
  <x:si>
    <x:t xml:space="preserve">CUST-0513</x:t>
  </x:si>
  <x:si>
    <x:t xml:space="preserve">CUST-0514</x:t>
  </x:si>
  <x:si>
    <x:t xml:space="preserve">CUST-0515</x:t>
  </x:si>
  <x:si>
    <x:t xml:space="preserve">CUST-0516</x:t>
  </x:si>
  <x:si>
    <x:t xml:space="preserve">CUST-0517</x:t>
  </x:si>
  <x:si>
    <x:t xml:space="preserve">CUST-0518</x:t>
  </x:si>
  <x:si>
    <x:t xml:space="preserve">CUST-0519</x:t>
  </x:si>
  <x:si>
    <x:t xml:space="preserve">CUST-0520</x:t>
  </x:si>
  <x:si>
    <x:t xml:space="preserve">CUST-0521</x:t>
  </x:si>
  <x:si>
    <x:t xml:space="preserve">CUST-0522</x:t>
  </x:si>
  <x:si>
    <x:t xml:space="preserve">CUST-0523</x:t>
  </x:si>
  <x:si>
    <x:t xml:space="preserve">CUST-0524</x:t>
  </x:si>
  <x:si>
    <x:t xml:space="preserve">CUST-0525</x:t>
  </x:si>
  <x:si>
    <x:t xml:space="preserve">CUST-0526</x:t>
  </x:si>
  <x:si>
    <x:t xml:space="preserve">CUST-0527</x:t>
  </x:si>
  <x:si>
    <x:t xml:space="preserve">CUST-0528</x:t>
  </x:si>
  <x:si>
    <x:t xml:space="preserve">CUST-0529</x:t>
  </x:si>
  <x:si>
    <x:t xml:space="preserve">CUST-0530</x:t>
  </x:si>
  <x:si>
    <x:t xml:space="preserve">CUST-0531</x:t>
  </x:si>
  <x:si>
    <x:t xml:space="preserve">CUST-0532</x:t>
  </x:si>
  <x:si>
    <x:t xml:space="preserve">CUST-0533</x:t>
  </x:si>
  <x:si>
    <x:t xml:space="preserve">CUST-0534</x:t>
  </x:si>
  <x:si>
    <x:t xml:space="preserve">CUST-0535</x:t>
  </x:si>
  <x:si>
    <x:t xml:space="preserve">CUST-0536</x:t>
  </x:si>
  <x:si>
    <x:t xml:space="preserve">CUST-0537</x:t>
  </x:si>
  <x:si>
    <x:t xml:space="preserve">CUST-0538</x:t>
  </x:si>
  <x:si>
    <x:t xml:space="preserve">CUST-0539</x:t>
  </x:si>
  <x:si>
    <x:t xml:space="preserve">CUST-0540</x:t>
  </x:si>
  <x:si>
    <x:t xml:space="preserve">CUST-0541</x:t>
  </x:si>
  <x:si>
    <x:t xml:space="preserve">CUST-0542</x:t>
  </x:si>
  <x:si>
    <x:t xml:space="preserve">CUST-0543</x:t>
  </x:si>
  <x:si>
    <x:t xml:space="preserve">CUST-0544</x:t>
  </x:si>
  <x:si>
    <x:t xml:space="preserve">CUST-0545</x:t>
  </x:si>
  <x:si>
    <x:t xml:space="preserve">CUST-0546</x:t>
  </x:si>
  <x:si>
    <x:t xml:space="preserve">CUST-0547</x:t>
  </x:si>
  <x:si>
    <x:t xml:space="preserve">CUST-0548</x:t>
  </x:si>
  <x:si>
    <x:t xml:space="preserve">CUST-0549</x:t>
  </x:si>
  <x:si>
    <x:t xml:space="preserve">CUST-0550</x:t>
  </x:si>
  <x:si>
    <x:t xml:space="preserve">CUST-0551</x:t>
  </x:si>
  <x:si>
    <x:t xml:space="preserve">CUST-0552</x:t>
  </x:si>
  <x:si>
    <x:t xml:space="preserve">CUST-0553</x:t>
  </x:si>
  <x:si>
    <x:t xml:space="preserve">CUST-0554</x:t>
  </x:si>
  <x:si>
    <x:t xml:space="preserve">CUST-0555</x:t>
  </x:si>
  <x:si>
    <x:t xml:space="preserve">CUST-0556</x:t>
  </x:si>
  <x:si>
    <x:t xml:space="preserve">CUST-0557</x:t>
  </x:si>
  <x:si>
    <x:t xml:space="preserve">CUST-0558</x:t>
  </x:si>
  <x:si>
    <x:t xml:space="preserve">CUST-0559</x:t>
  </x:si>
  <x:si>
    <x:t xml:space="preserve">CUST-0560</x:t>
  </x:si>
  <x:si>
    <x:t xml:space="preserve">CUST-0561</x:t>
  </x:si>
  <x:si>
    <x:t xml:space="preserve">CUST-0562</x:t>
  </x:si>
  <x:si>
    <x:t xml:space="preserve">CUST-0563</x:t>
  </x:si>
  <x:si>
    <x:t xml:space="preserve">CUST-0564</x:t>
  </x:si>
  <x:si>
    <x:t xml:space="preserve">CUST-0565</x:t>
  </x:si>
  <x:si>
    <x:t xml:space="preserve">CUST-0566</x:t>
  </x:si>
  <x:si>
    <x:t xml:space="preserve">CUST-0567</x:t>
  </x:si>
  <x:si>
    <x:t xml:space="preserve">CUST-0568</x:t>
  </x:si>
  <x:si>
    <x:t xml:space="preserve">CUST-0569</x:t>
  </x:si>
  <x:si>
    <x:t xml:space="preserve">CUST-0570</x:t>
  </x:si>
  <x:si>
    <x:t xml:space="preserve">CUST-0571</x:t>
  </x:si>
  <x:si>
    <x:t xml:space="preserve">CUST-0572</x:t>
  </x:si>
  <x:si>
    <x:t xml:space="preserve">CUST-0573</x:t>
  </x:si>
  <x:si>
    <x:t xml:space="preserve">CUST-0574</x:t>
  </x:si>
  <x:si>
    <x:t xml:space="preserve">CUST-0575</x:t>
  </x:si>
  <x:si>
    <x:t xml:space="preserve">CUST-0576</x:t>
  </x:si>
  <x:si>
    <x:t xml:space="preserve">CUST-0577</x:t>
  </x:si>
  <x:si>
    <x:t xml:space="preserve">CUST-0578</x:t>
  </x:si>
  <x:si>
    <x:t xml:space="preserve">CUST-0579</x:t>
  </x:si>
  <x:si>
    <x:t xml:space="preserve">CUST-0580</x:t>
  </x:si>
  <x:si>
    <x:t xml:space="preserve">CUST-0581</x:t>
  </x:si>
  <x:si>
    <x:t xml:space="preserve">CUST-0582</x:t>
  </x:si>
  <x:si>
    <x:t xml:space="preserve">CUST-0583</x:t>
  </x:si>
  <x:si>
    <x:t xml:space="preserve">CUST-0584</x:t>
  </x:si>
  <x:si>
    <x:t xml:space="preserve">CUST-0585</x:t>
  </x:si>
  <x:si>
    <x:t xml:space="preserve">CUST-0586</x:t>
  </x:si>
  <x:si>
    <x:t xml:space="preserve">CUST-0587</x:t>
  </x:si>
  <x:si>
    <x:t xml:space="preserve">CUST-0588</x:t>
  </x:si>
  <x:si>
    <x:t xml:space="preserve">CUST-0589</x:t>
  </x:si>
  <x:si>
    <x:t xml:space="preserve">CUST-0590</x:t>
  </x:si>
  <x:si>
    <x:t xml:space="preserve">CUST-0591</x:t>
  </x:si>
  <x:si>
    <x:t xml:space="preserve">CUST-0592</x:t>
  </x:si>
  <x:si>
    <x:t xml:space="preserve">CUST-0593</x:t>
  </x:si>
  <x:si>
    <x:t xml:space="preserve">CUST-0594</x:t>
  </x:si>
  <x:si>
    <x:t xml:space="preserve">CUST-0595</x:t>
  </x:si>
  <x:si>
    <x:t xml:space="preserve">CUST-0596</x:t>
  </x:si>
  <x:si>
    <x:t xml:space="preserve">CUST-0597</x:t>
  </x:si>
  <x:si>
    <x:t xml:space="preserve">CUST-0598</x:t>
  </x:si>
  <x:si>
    <x:t xml:space="preserve">CUST-0599</x:t>
  </x:si>
  <x:si>
    <x:t xml:space="preserve">CUST-0600</x:t>
  </x:si>
  <x:si>
    <x:t xml:space="preserve">month</x:t>
  </x:si>
  <x:si>
    <x:t xml:space="preserve">total_active_customers</x:t>
  </x:si>
  <x:si>
    <x:t xml:space="preserve">new_customers</x:t>
  </x:si>
  <x:si>
    <x:t xml:space="preserve">churned_customers</x:t>
  </x:si>
  <x:si>
    <x:t xml:space="preserve">monthly_churn_rate_pct</x:t>
  </x:si>
  <x:si>
    <x:t xml:space="preserve">total_mrr</x:t>
  </x:si>
  <x:si>
    <x:t xml:space="preserve">avg_revenue_per_customer</x:t>
  </x:si>
  <x:si>
    <x:t xml:space="preserve">customer_acquisition_cost</x:t>
  </x:si>
  <x:si>
    <x:t xml:space="preserve">Metric</x:t>
  </x:si>
  <x:si>
    <x:t xml:space="preserve">Value</x:t>
  </x:si>
  <x:si>
    <x:t xml:space="preserve">Total Customers</x:t>
  </x:si>
  <x:si>
    <x:t xml:space="preserve">Churned Customers</x:t>
  </x:si>
  <x:si>
    <x:t xml:space="preserve">Active Customers</x:t>
  </x:si>
  <x:si>
    <x:t xml:space="preserve">Overall Churn Rate</x:t>
  </x:si>
</x:sst>
</file>

<file path=xl/styles.xml><?xml version="1.0" encoding="utf-8"?>
<x:styleSheet xmlns:x="http://schemas.openxmlformats.org/spreadsheetml/2006/main">
  <x:numFmts count="7">
    <x:numFmt numFmtId="200" formatCode="0.00%"/>
    <x:numFmt numFmtId="201" formatCode="0.0"/>
    <x:numFmt numFmtId="202" formatCode="0.0%"/>
    <x:numFmt numFmtId="203" formatCode="$#,##0"/>
    <x:numFmt numFmtId="204" formatCode="0"/>
    <x:numFmt numFmtId="205" formatCode="$#,##0.00"/>
    <x:numFmt numFmtId="206" formatCode="0.0x"/>
  </x:numFmts>
  <x:fonts count="14">
    <x:font>
      <x:sz val="11"/>
      <x:color theme="1"/>
      <x:name val="Aptos Narrow"/>
    </x:font>
    <x:font>
      <x:b/>
      <x:sz val="11"/>
      <x:color rgb="FFFFFFFF"/>
      <x:name val="Aptos Narrow"/>
    </x:font>
    <x:font>
      <x:b/>
      <x:sz val="18"/>
      <x:color rgb="FFFFFFFF"/>
      <x:name val="Aptos Narrow"/>
    </x:font>
    <x:font>
      <x:i/>
      <x:sz val="11"/>
      <x:color rgb="FF264653"/>
      <x:name val="Aptos Narrow"/>
    </x:font>
    <x:font>
      <x:b/>
      <x:sz val="10"/>
      <x:color rgb="FFFFFFFF"/>
      <x:name val="Aptos Narrow"/>
    </x:font>
    <x:font>
      <x:b/>
      <x:sz val="16"/>
      <x:color rgb="FF0B1F33"/>
      <x:name val="Aptos Narrow"/>
    </x:font>
    <x:font>
      <x:b/>
      <x:sz val="12"/>
      <x:color rgb="FFFFFFFF"/>
      <x:name val="Aptos Narrow"/>
    </x:font>
    <x:font>
      <x:b/>
      <x:sz val="11"/>
      <x:color theme="1"/>
      <x:name val="Aptos Narrow"/>
    </x:font>
    <x:font>
      <x:b/>
      <x:sz val="16"/>
      <x:color rgb="FFFFFFFF"/>
      <x:name val="Aptos Narrow"/>
    </x:font>
    <x:font>
      <x:b/>
      <x:sz val="11"/>
      <x:color rgb="FF0B1F33"/>
      <x:name val="Aptos Narrow"/>
    </x:font>
    <x:font>
      <x:sz val="10"/>
      <x:color theme="1"/>
      <x:name val="Aptos Narrow"/>
    </x:font>
    <x:font>
      <x:b/>
      <x:sz val="10"/>
      <x:color rgb="FF0B1F33"/>
      <x:name val="Aptos Narrow"/>
    </x:font>
    <x:font>
      <x:b/>
      <x:sz val="10"/>
      <x:color theme="1"/>
      <x:name val="Aptos Narrow"/>
    </x:font>
    <x:font>
      <x:sz val="9"/>
      <x:color rgb="FF374151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FFF2CC"/>
      </x:patternFill>
    </x:fill>
  </x:fills>
  <x:borders count="10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59">
    <x:xf numFmtId="0" fontId="0" fillId="0" borderId="0" xfId="0"/>
    <x:xf numFmtId="14" fontId="0" fillId="0" borderId="0" xfId="0" applyNumberFormat="1"/>
    <x:xf numFmtId="10" fontId="0" fillId="0" borderId="0" xfId="0" applyNumberFormat="1"/>
    <x:xf numFmtId="0" fontId="0" fillId="0" borderId="0" xfId="0"/>
    <x:xf numFmtId="0" fontId="0" fillId="0" borderId="0" xfId="0" applyAlignment="1">
      <x:alignment horizontal="left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14" fontId="0" fillId="0" borderId="1" xfId="0" applyNumberFormat="1" applyFont="1" applyFill="1" applyBorder="1"/>
    <x:xf numFmtId="1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202" fontId="5" fillId="5" borderId="2" xfId="0" applyNumberFormat="1" applyFont="1" applyFill="1" applyBorder="1" applyAlignment="1">
      <x:alignment horizontal="center" vertical="center"/>
    </x:xf>
    <x:xf numFmtId="202" fontId="5" fillId="5" borderId="6" xfId="0" applyNumberFormat="1" applyFont="1" applyFill="1" applyBorder="1" applyAlignment="1">
      <x:alignment horizontal="center" vertical="center"/>
    </x:xf>
    <x:xf numFmtId="203" fontId="5" fillId="5" borderId="2" xfId="0" applyNumberFormat="1" applyFont="1" applyFill="1" applyBorder="1" applyAlignment="1">
      <x:alignment horizontal="center" vertical="center"/>
    </x:xf>
    <x:xf numFmtId="203" fontId="5" fillId="5" borderId="3" xfId="0" applyNumberFormat="1" applyFont="1" applyFill="1" applyBorder="1" applyAlignment="1">
      <x:alignment horizontal="center" vertical="center"/>
    </x:xf>
    <x:xf numFmtId="203" fontId="5" fillId="5" borderId="6" xfId="0" applyNumberFormat="1" applyFont="1" applyFill="1" applyBorder="1" applyAlignment="1">
      <x:alignment horizontal="center" vertical="center"/>
    </x:xf>
    <x:xf numFmtId="203" fontId="5" fillId="5" borderId="7" xfId="0" applyNumberFormat="1" applyFont="1" applyFill="1" applyBorder="1" applyAlignment="1">
      <x:alignment horizontal="center" vertical="center"/>
    </x:xf>
    <x:xf numFmtId="204" fontId="5" fillId="5" borderId="2" xfId="0" applyNumberFormat="1" applyFont="1" applyFill="1" applyBorder="1" applyAlignment="1">
      <x:alignment horizontal="center" vertical="center"/>
    </x:xf>
    <x:xf numFmtId="204" fontId="5" fillId="5" borderId="6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205" fontId="10" fillId="0" borderId="0" xfId="0" applyNumberFormat="1" applyFont="1" applyFill="1" applyBorder="1"/>
    <x:xf numFmtId="201" fontId="10" fillId="0" borderId="0" xfId="0" applyNumberFormat="1" applyFont="1" applyFill="1" applyBorder="1"/>
    <x:xf numFmtId="203" fontId="10" fillId="0" borderId="0" xfId="0" applyNumberFormat="1" applyFont="1" applyFill="1" applyBorder="1"/>
    <x:xf numFmtId="206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11" fillId="4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200" fontId="10" fillId="0" borderId="1" xfId="0" applyNumberFormat="1" applyFont="1" applyFill="1" applyBorder="1"/>
    <x:xf numFmtId="202" fontId="10" fillId="0" borderId="1" xfId="0" applyNumberFormat="1" applyFont="1" applyFill="1" applyBorder="1"/>
    <x:xf numFmtId="0" fontId="12" fillId="6" borderId="1" xfId="0" applyNumberFormat="1" applyFont="1" applyFill="1" applyBorder="1" applyAlignment="1">
      <x:alignment wrapText="1"/>
    </x:xf>
    <x:xf numFmtId="205" fontId="10" fillId="0" borderId="1" xfId="0" applyNumberFormat="1" applyFont="1" applyFill="1" applyBorder="1"/>
    <x:xf numFmtId="201" fontId="10" fillId="0" borderId="1" xfId="0" applyNumberFormat="1" applyFont="1" applyFill="1" applyBorder="1"/>
    <x:xf numFmtId="203" fontId="10" fillId="0" borderId="1" xfId="0" applyNumberFormat="1" applyFont="1" applyFill="1" applyBorder="1"/>
    <x:xf numFmtId="206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1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0" fillId="5" borderId="1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numFmt numFmtId="0" formatCode="General"/>
    </x:dxf>
    <x:dxf>
      <x:numFmt numFmtId="19" formatCode="m/d/yyyy"/>
    </x:dxf>
    <x:dxf>
      <x:numFmt numFmtId="0" formatCode="General"/>
    </x:dxf>
    <x:dxf>
      <x:numFmt numFmtId="0" formatCode="General"/>
    </x:dxf>
    <x:dxf>
      <x:numFmt numFmtId="19" formatCode="m/d/yyyy"/>
    </x:dxf>
    <x:dxf>
      <x:numFmt numFmtId="0" formatCode="General"/>
    </x:dxf>
    <x:dxf>
      <x:numFmt numFmtId="19" formatCode="m/d/yyyy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ba7f3634948fd" /><Relationship Type="http://schemas.openxmlformats.org/officeDocument/2006/relationships/theme" Target="/xl/theme/theme1.xml" Id="R360a42727fbd4aed" /><Relationship Type="http://schemas.openxmlformats.org/officeDocument/2006/relationships/sharedStrings" Target="/xl/sharedStrings.xml" Id="Ra5edbcf51d734181" /><Relationship Type="http://schemas.openxmlformats.org/officeDocument/2006/relationships/pivotCacheDefinition" Target="/pivotCache/pivotCacheDefinition1.xml" Id="Rbebc6a29746b4001" /><Relationship Type="http://schemas.openxmlformats.org/officeDocument/2006/relationships/pivotCacheDefinition" Target="/pivotCache/pivotCacheDefinition2.xml" Id="R37c9a2afb6b94456" /><Relationship Type="http://schemas.openxmlformats.org/officeDocument/2006/relationships/worksheet" Target="/xl/worksheets/sheet1.xml" Id="Rb2dc70a66ac54f5d" /><Relationship Type="http://schemas.openxmlformats.org/officeDocument/2006/relationships/worksheet" Target="/xl/worksheets/sheet2.xml" Id="R47d736889a0d4b68" /><Relationship Type="http://schemas.openxmlformats.org/officeDocument/2006/relationships/worksheet" Target="/xl/worksheets/sheet3.xml" Id="Re6910362cc6c4441" /><Relationship Type="http://schemas.openxmlformats.org/officeDocument/2006/relationships/worksheet" Target="/xl/worksheets/sheet4.xml" Id="Rf457d42d66704a76" /><Relationship Type="http://schemas.openxmlformats.org/officeDocument/2006/relationships/worksheet" Target="/xl/worksheets/sheet5.xml" Id="Reb40f16e854247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8b4295fa9a4d6c" /><Relationship Type="http://schemas.openxmlformats.org/officeDocument/2006/relationships/chart" Target="/xl/drawings/charts/chart2.xml" Id="Ra427d31a3b93460e" /><Relationship Type="http://schemas.openxmlformats.org/officeDocument/2006/relationships/chart" Target="/xl/drawings/charts/chart3.xml" Id="Rd7470bee199d4544" /><Relationship Type="http://schemas.openxmlformats.org/officeDocument/2006/relationships/chart" Target="/xl/drawings/charts/chart4.xml" Id="Rd38a38f21bb8419e" /><Relationship Type="http://schemas.openxmlformats.org/officeDocument/2006/relationships/chart" Target="/xl/drawings/charts/chart5.xml" Id="R43316c3b78b44a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7a4616ad3b844cf" /><Relationship Type="http://schemas.openxmlformats.org/officeDocument/2006/relationships/chart" Target="/xl/drawings/charts/chart7.xml" Id="R7b62d9bbaa2e403e" /><Relationship Type="http://schemas.openxmlformats.org/officeDocument/2006/relationships/chart" Target="/xl/drawings/charts/chart8.xml" Id="R700ddb167ff64c2d" /><Relationship Type="http://schemas.openxmlformats.org/officeDocument/2006/relationships/chart" Target="/xl/drawings/charts/chart9.xml" Id="R03ad57f5e36b4c87" /><Relationship Type="http://schemas.openxmlformats.org/officeDocument/2006/relationships/chart" Target="/xl/drawings/charts/chart10.xml" Id="Rb3e21e2f76a745b4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Monthly Churn Rate Trend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Monthly_revenue!$E$1</c:f>
              <c:strCache>
                <c:ptCount val="1"/>
                <c:pt idx="0">
                  <c:v>monthly_churn_rate_pct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Monthly_revenue!$A$2:$A$49</c:f>
              <c:numCache>
                <c:formatCode>[$-409]mmmm\-yy;@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Monthly_revenue!$E$2:$E$49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10.71</c:v>
                </c:pt>
                <c:pt idx="4">
                  <c:v>2.86</c:v>
                </c:pt>
                <c:pt idx="5">
                  <c:v>4.35</c:v>
                </c:pt>
                <c:pt idx="6">
                  <c:v>11.32</c:v>
                </c:pt>
                <c:pt idx="7">
                  <c:v>10.53</c:v>
                </c:pt>
                <c:pt idx="8">
                  <c:v>7.46</c:v>
                </c:pt>
                <c:pt idx="9">
                  <c:v>6.58</c:v>
                </c:pt>
                <c:pt idx="10">
                  <c:v>5.75</c:v>
                </c:pt>
                <c:pt idx="11">
                  <c:v>2.11</c:v>
                </c:pt>
                <c:pt idx="12">
                  <c:v>3.74</c:v>
                </c:pt>
                <c:pt idx="13">
                  <c:v>2.61</c:v>
                </c:pt>
                <c:pt idx="14">
                  <c:v>1.63</c:v>
                </c:pt>
                <c:pt idx="15">
                  <c:v>6.4</c:v>
                </c:pt>
                <c:pt idx="16">
                  <c:v>3.01</c:v>
                </c:pt>
                <c:pt idx="17">
                  <c:v>7.14</c:v>
                </c:pt>
                <c:pt idx="18">
                  <c:v>4.83</c:v>
                </c:pt>
                <c:pt idx="19">
                  <c:v>4.46</c:v>
                </c:pt>
                <c:pt idx="20">
                  <c:v>4.38</c:v>
                </c:pt>
                <c:pt idx="21">
                  <c:v>2.94</c:v>
                </c:pt>
                <c:pt idx="22">
                  <c:v>4.42</c:v>
                </c:pt>
                <c:pt idx="23">
                  <c:v>3.83</c:v>
                </c:pt>
                <c:pt idx="24">
                  <c:v>3.76</c:v>
                </c:pt>
                <c:pt idx="25">
                  <c:v>4.26</c:v>
                </c:pt>
                <c:pt idx="26">
                  <c:v>2.12</c:v>
                </c:pt>
                <c:pt idx="27">
                  <c:v>3.94</c:v>
                </c:pt>
                <c:pt idx="28">
                  <c:v>3.88</c:v>
                </c:pt>
                <c:pt idx="29">
                  <c:v>4.23</c:v>
                </c:pt>
                <c:pt idx="30">
                  <c:v>3.7</c:v>
                </c:pt>
                <c:pt idx="31">
                  <c:v>3.14</c:v>
                </c:pt>
                <c:pt idx="32">
                  <c:v>3.1</c:v>
                </c:pt>
                <c:pt idx="33">
                  <c:v>3</c:v>
                </c:pt>
                <c:pt idx="34">
                  <c:v>3.78</c:v>
                </c:pt>
                <c:pt idx="35">
                  <c:v>3.75</c:v>
                </c:pt>
                <c:pt idx="36">
                  <c:v>3.64</c:v>
                </c:pt>
                <c:pt idx="37">
                  <c:v>3.19</c:v>
                </c:pt>
                <c:pt idx="38">
                  <c:v>2.72</c:v>
                </c:pt>
                <c:pt idx="39">
                  <c:v>6.3</c:v>
                </c:pt>
                <c:pt idx="40">
                  <c:v>5.68</c:v>
                </c:pt>
                <c:pt idx="41">
                  <c:v>4.21</c:v>
                </c:pt>
                <c:pt idx="42">
                  <c:v>3.4</c:v>
                </c:pt>
                <c:pt idx="43">
                  <c:v>2.64</c:v>
                </c:pt>
                <c:pt idx="44">
                  <c:v>3.4</c:v>
                </c:pt>
                <c:pt idx="45">
                  <c:v>3.35</c:v>
                </c:pt>
                <c:pt idx="46">
                  <c:v>3.24</c:v>
                </c:pt>
                <c:pt idx="47">
                  <c:v>1.42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881840"/>
        <c:axId val="562335952"/>
      </c:lineChart>
      <c:dateAx>
        <c:axId val="207988184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Month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[$-409]mmmm\-yy;@" sourceLinked="0"/>
        <c:majorTickMark val="out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62335952"/>
        <c:crosses val="autoZero"/>
        <c:auto val="1"/>
        <c:lblOffset val="100"/>
        <c:baseTimeUnit val="months"/>
      </c:dateAx>
      <c:valAx>
        <c:axId val="5623359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Churn Rate (%)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7988184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Yes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Subscriptions!$K$2:$K$600</c:f>
              <c:strCache>
                <c:ptCount val="1"/>
                <c:pt idx="0">
                  <c:v>Yes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Subscriptions!$B$601</c:f>
              <c:strCache>
                <c:ptCount val="1"/>
                <c:pt idx="0">
                  <c:v>Starter</c:v>
                </c:pt>
              </c:strCache>
            </c:strRef>
          </c:cat>
          <c:val>
            <c:numRef>
              <c:f>Subscriptions!$K$601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868848"/>
        <c:axId val="562336432"/>
      </c:barChart>
      <c:catAx>
        <c:axId val="207986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62336432"/>
        <c:crosses val="autoZero"/>
        <c:lblAlgn val="ctr"/>
        <c:lblOffset val="100"/>
        <c:noMultiLvlLbl val="0"/>
      </c:catAx>
      <c:valAx>
        <c:axId val="56233643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7986884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Churn Rate by Subscription Plan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Analysis!$G$29:$G$30</c:f>
              <c:strCache>
                <c:ptCount val="1"/>
                <c:pt idx="0">
                  <c:v>No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Analysis!$F$31:$F$35</c:f>
              <c:strCache>
                <c:ptCount val="4"/>
                <c:pt idx="0">
                  <c:v>Business</c:v>
                </c:pt>
                <c:pt idx="1">
                  <c:v>Enterprise</c:v>
                </c:pt>
                <c:pt idx="2">
                  <c:v>Professional</c:v>
                </c:pt>
                <c:pt idx="3">
                  <c:v>Starter</c:v>
                </c:pt>
              </c:strCache>
            </c:strRef>
          </c:cat>
          <c:val>
            <c:numRef>
              <c:f>Analysis!$G$31:$G$35</c:f>
              <c:numCache>
                <c:formatCode>0.00%</c:formatCode>
                <c:ptCount val="4"/>
                <c:pt idx="0">
                  <c:v>0.5875</c:v>
                </c:pt>
                <c:pt idx="1">
                  <c:v>0.78</c:v>
                </c:pt>
                <c:pt idx="2">
                  <c:v>0.5202312138728323</c:v>
                </c:pt>
                <c:pt idx="3">
                  <c:v>0.29493087557603687</c:v>
                </c:pt>
              </c:numCache>
            </c:numRef>
          </c:val>
        </c:ser>
        <c:ser>
          <c:idx val="1"/>
          <c:order val="1"/>
          <c:tx>
            <c:strRef>
              <c:f>Analysis!$H$29:$H$30</c:f>
              <c:strCache>
                <c:ptCount val="1"/>
                <c:pt idx="0">
                  <c:v>Yes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Analysis!$F$31:$F$35</c:f>
              <c:strCache>
                <c:ptCount val="4"/>
                <c:pt idx="0">
                  <c:v>Business</c:v>
                </c:pt>
                <c:pt idx="1">
                  <c:v>Enterprise</c:v>
                </c:pt>
                <c:pt idx="2">
                  <c:v>Professional</c:v>
                </c:pt>
                <c:pt idx="3">
                  <c:v>Starter</c:v>
                </c:pt>
              </c:strCache>
            </c:strRef>
          </c:cat>
          <c:val>
            <c:numRef>
              <c:f>Analysis!$H$31:$H$35</c:f>
              <c:numCache>
                <c:formatCode>0.00%</c:formatCode>
                <c:ptCount val="4"/>
                <c:pt idx="0">
                  <c:v>0.4125</c:v>
                </c:pt>
                <c:pt idx="1">
                  <c:v>0.22</c:v>
                </c:pt>
                <c:pt idx="2">
                  <c:v>0.4797687861271676</c:v>
                </c:pt>
                <c:pt idx="3">
                  <c:v>0.7050691244239631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915520"/>
        <c:axId val="2075525104"/>
      </c:barChart>
      <c:catAx>
        <c:axId val="43291552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Plan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75525104"/>
        <c:crosses val="autoZero"/>
        <c:lblAlgn val="ctr"/>
        <c:lblOffset val="100"/>
        <c:noMultiLvlLbl val="0"/>
      </c:catAx>
      <c:valAx>
        <c:axId val="207552510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Churn Rate (%)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3291552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Churn Rate by Subscription Plan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Analysis!$A$51:$A$55</c:f>
              <c:strCache>
                <c:ptCount val="4"/>
                <c:pt idx="0">
                  <c:v>Business</c:v>
                </c:pt>
                <c:pt idx="1">
                  <c:v>Enterprise</c:v>
                </c:pt>
                <c:pt idx="2">
                  <c:v>Professional</c:v>
                </c:pt>
                <c:pt idx="3">
                  <c:v>Starter</c:v>
                </c:pt>
              </c:strCache>
            </c:strRef>
          </c:cat>
          <c:val>
            <c:numRef>
              <c:f>Analysis!$B$51:$B$55</c:f>
              <c:numCache>
                <c:formatCode>0.00%</c:formatCode>
                <c:ptCount val="4"/>
                <c:pt idx="0">
                  <c:v>0.4125</c:v>
                </c:pt>
                <c:pt idx="1">
                  <c:v>0.22</c:v>
                </c:pt>
                <c:pt idx="2">
                  <c:v>0.4797687861271676</c:v>
                </c:pt>
                <c:pt idx="3">
                  <c:v>0.7050691244239631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254815"/>
        <c:axId val="1441014095"/>
      </c:barChart>
      <c:catAx>
        <c:axId val="16292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41014095"/>
        <c:crosses val="autoZero"/>
        <c:lblAlgn val="ctr"/>
        <c:lblOffset val="100"/>
        <c:noMultiLvlLbl val="0"/>
      </c:catAx>
      <c:valAx>
        <c:axId val="144101409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629254815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7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Churn Rate by Billing Cycle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7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Analysis!$A$65:$A$67</c:f>
              <c:strCache>
                <c:ptCount val="2"/>
                <c:pt idx="0">
                  <c:v>Annual</c:v>
                </c:pt>
                <c:pt idx="1">
                  <c:v>Monthly</c:v>
                </c:pt>
              </c:strCache>
            </c:strRef>
          </c:cat>
          <c:val>
            <c:numRef>
              <c:f>Analysis!$B$65:$B$67</c:f>
              <c:numCache>
                <c:formatCode>0.00%</c:formatCode>
                <c:ptCount val="2"/>
                <c:pt idx="0">
                  <c:v>0.4032258064516129</c:v>
                </c:pt>
                <c:pt idx="1">
                  <c:v>0.6051136363636364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685743"/>
        <c:axId val="1440895535"/>
      </c:barChart>
      <c:catAx>
        <c:axId val="1980685743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500" b="0" i="0" u="none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Billing Cycle 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500" b="0" i="0" u="none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40895535"/>
        <c:crosses val="autoZero"/>
        <c:lblAlgn val="ctr"/>
        <c:lblOffset val="100"/>
        <c:noMultiLvlLbl val="0"/>
      </c:catAx>
      <c:valAx>
        <c:axId val="144089553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5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Churn Rate (%)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5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80685743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Monthly churn rate</c:v>
          </c:tx>
          <c:marker>
            <c:symbol val="none"/>
          </c:marker>
          <c:cat>
            <c:strRef>
              <c:f>'Deep_Dive'!$M$2:$M$49</c:f>
              <c:strCache>
                <c:ptCount val="0"/>
              </c:strCache>
            </c:strRef>
          </c:cat>
          <c:val>
            <c:numRef>
              <c:f>'Deep_Dive'!$N$2:$N$49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Churn Rate</c:v>
          </c:tx>
          <c:cat>
            <c:strRef>
              <c:f>'Deep_Dive'!$A$6:$A$9</c:f>
              <c:strCache>
                <c:ptCount val="0"/>
              </c:strCache>
            </c:strRef>
          </c:cat>
          <c:val>
            <c:numRef>
              <c:f>'Deep_Dive'!$D$6:$D$9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Estimated CLV</c:v>
          </c:tx>
          <c:cat>
            <c:strRef>
              <c:f>'Deep_Dive'!$A$35:$A$38</c:f>
              <c:strCache>
                <c:ptCount val="0"/>
              </c:strCache>
            </c:strRef>
          </c:cat>
          <c:val>
            <c:numRef>
              <c:f>'Deep_Dive'!$D$35:$D$38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Average CAC</c:v>
          </c:tx>
          <c:cat>
            <c:strRef>
              <c:f>'Deep_Dive'!$A$35:$A$38</c:f>
              <c:strCache>
                <c:ptCount val="0"/>
              </c:strCache>
            </c:strRef>
          </c:cat>
          <c:val>
            <c:numRef>
              <c:f>'Deep_Dive'!$E$35:$E$38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Customers</c:v>
          </c:tx>
          <c:cat>
            <c:strRef>
              <c:f>'Deep_Dive'!$A$24:$A$30</c:f>
              <c:strCache>
                <c:ptCount val="0"/>
              </c:strCache>
            </c:strRef>
          </c:cat>
          <c:val>
            <c:numRef>
              <c:f>'Deep_Dive'!$B$24:$B$30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MRR</c:v>
          </c:tx>
          <c:marker>
            <c:symbol val="none"/>
          </c:marker>
          <c:cat>
            <c:strRef>
              <c:f>'Deep_Dive'!$M$2:$M$49</c:f>
              <c:strCache>
                <c:ptCount val="0"/>
              </c:strCache>
            </c:strRef>
          </c:cat>
          <c:val>
            <c:numRef>
              <c:f>'Deep_Dive'!$O$2:$O$49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57150</xdr:colOff>
      <xdr:row>6</xdr:row>
      <xdr:rowOff>165735</xdr:rowOff>
    </xdr:from>
    <xdr:to>
      <xdr:col>4</xdr:col>
      <xdr:colOff>1184910</xdr:colOff>
      <xdr:row>21</xdr:row>
      <xdr:rowOff>165735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8b4295fa9a4d6c"/>
        </a:graphicData>
      </a:graphic>
    </xdr:graphicFrame>
    <xdr:clientData/>
  </xdr:twoCellAnchor>
  <xdr:twoCellAnchor>
    <xdr:from>
      <xdr:col>10</xdr:col>
      <xdr:colOff>1716405</xdr:colOff>
      <xdr:row>175</xdr:row>
      <xdr:rowOff>32385</xdr:rowOff>
    </xdr:from>
    <xdr:to>
      <xdr:col>13</xdr:col>
      <xdr:colOff>259080</xdr:colOff>
      <xdr:row>190</xdr:row>
      <xdr:rowOff>60960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27d31a3b93460e"/>
        </a:graphicData>
      </a:graphic>
    </xdr:graphicFrame>
    <xdr:clientData/>
  </xdr:twoCellAnchor>
  <xdr:twoCellAnchor>
    <xdr:from>
      <xdr:col>0</xdr:col>
      <xdr:colOff>0</xdr:colOff>
      <xdr:row>23</xdr:row>
      <xdr:rowOff>72303</xdr:rowOff>
    </xdr:from>
    <xdr:to>
      <xdr:col>4</xdr:col>
      <xdr:colOff>790575</xdr:colOff>
      <xdr:row>46</xdr:row>
      <xdr:rowOff>124690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470bee199d4544"/>
        </a:graphicData>
      </a:graphic>
    </xdr:graphicFrame>
    <xdr:clientData/>
  </xdr:twoCellAnchor>
  <xdr:twoCellAnchor>
    <xdr:from>
      <xdr:col>2</xdr:col>
      <xdr:colOff>476450</xdr:colOff>
      <xdr:row>48</xdr:row>
      <xdr:rowOff>27658</xdr:rowOff>
    </xdr:from>
    <xdr:to>
      <xdr:col>5</xdr:col>
      <xdr:colOff>1077795</xdr:colOff>
      <xdr:row>59</xdr:row>
      <xdr:rowOff>155610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a38f21bb8419e"/>
        </a:graphicData>
      </a:graphic>
    </xdr:graphicFrame>
    <xdr:clientData/>
  </xdr:twoCellAnchor>
  <xdr:twoCellAnchor>
    <xdr:from>
      <xdr:col>0</xdr:col>
      <xdr:colOff>0</xdr:colOff>
      <xdr:row>69</xdr:row>
      <xdr:rowOff>125663</xdr:rowOff>
    </xdr:from>
    <xdr:to>
      <xdr:col>5</xdr:col>
      <xdr:colOff>147053</xdr:colOff>
      <xdr:row>93</xdr:row>
      <xdr:rowOff>173790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316c3b78b44a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a4616ad3b844cf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62d9bbaa2e403e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0ddb167ff64c2d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ad57f5e36b4c87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0</xdr:colOff>
      <xdr:row>63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e21e2f76a745b4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18ac6ea5c04d4a8d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155900a8619945c0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c033432813594645" /></Relationships>
</file>

<file path=xl/pivotTables/pivotTable.xml><?xml version="1.0" encoding="utf-8"?>
<x:pivotTableDefinition xmlns:x="http://schemas.openxmlformats.org/spreadsheetml/2006/main" name="Churn Rate by Subscription Pla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x:location ref="F29:I35" firstHeaderRow="1" firstDataRow="2" firstDataCol="1"/>
  <x:pivotFields count="17">
    <x:pivotField axis="axisValues" dataField="1" showAll="0">
      <x:items count="601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t="default"/>
      </x:items>
    </x:pivotField>
    <x:pivotField axis="axisRow" dataField="0" showAll="0">
      <x:items count="5">
        <x:item x="2"/>
        <x:item x="3"/>
        <x:item x="0"/>
        <x:item x="1"/>
        <x:item t="default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numFmtId="14" showAll="0"/>
    <x:pivotField axis="axisCol" dataField="0" showAll="0">
      <x:items count="3">
        <x:item x="1"/>
        <x:item x="0"/>
        <x:item t="default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</x:pivotFields>
  <x:rowFields count="1">
    <x:field x="1"/>
  </x:rowFields>
  <x:rowItems count="5">
    <x:i>
      <x:x v="0"/>
    </x:i>
    <x:i>
      <x:x v="1"/>
    </x:i>
    <x:i>
      <x:x v="2"/>
    </x:i>
    <x:i>
      <x:x v="3"/>
    </x:i>
    <x:i/>
  </x:rowItems>
  <x:colFields count="1">
    <x:field x="10"/>
  </x:colFields>
  <x:colItems count="3">
    <x:i>
      <x:x v="0"/>
    </x:i>
    <x:i>
      <x:x v="1"/>
    </x:i>
    <x:i>
      <x:x v="2"/>
    </x:i>
  </x:colItems>
  <x:dataFields count="1">
    <x:dataField name="Count of customer_id" fld="0" subtotal="count" showDataAs="percentOfRow" baseField="0" baseItem="0" numFmtId="1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x:location ref="A50:B55" firstHeaderRow="0" firstDataRow="1" firstDataCol="1"/>
  <x:pivotFields count="18">
    <x:pivotField dataField="0" showAll="0"/>
    <x:pivotField axis="axisRow" dataField="0" showAll="0">
      <x:items count="6">
        <x:item x="2"/>
        <x:item x="3"/>
        <x:item x="0"/>
        <x:item x="1"/>
        <x:item h="1" x="4"/>
        <x:item t="default"/>
      </x:items>
    </x:pivotField>
    <x:pivotField dataField="0" showAll="0">
      <x:items count="3">
        <x:item x="2"/>
        <x:item x="1"/>
        <x:item x="0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axis="axisValues" dataField="1" showAll="0"/>
  </x:pivotFields>
  <x:rowFields count="1">
    <x:field x="1"/>
  </x:rowFields>
  <x:rowItems count="5">
    <x:i>
      <x:x v="0"/>
    </x:i>
    <x:i>
      <x:x v="1"/>
    </x:i>
    <x:i>
      <x:x v="2"/>
    </x:i>
    <x:i>
      <x:x v="3"/>
    </x:i>
    <x:i/>
  </x:rowItems>
  <x:colItems count="1">
    <x:i>
      <x:x v="0"/>
    </x:i>
  </x:colItems>
  <x:dataFields count="1">
    <x:dataField name="Average of churn_flag" fld="17" subtotal="average" baseField="1" baseItem="0" numFmtId="1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3.xml><?xml version="1.0" encoding="utf-8"?>
<x:pivotTableDefinition xmlns:x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x:location ref="A64:B67" firstHeaderRow="0" firstDataRow="1" firstDataCol="1"/>
  <x:pivotFields count="18">
    <x:pivotField dataField="0" showAll="0"/>
    <x:pivotField dataField="0" showAll="0">
      <x:items count="5">
        <x:item x="4"/>
        <x:item x="2"/>
        <x:item x="3"/>
        <x:item x="0"/>
        <x:item x="1"/>
      </x:items>
    </x:pivotField>
    <x:pivotField axis="axisRow" dataField="0" showAll="0">
      <x:items count="4">
        <x:item x="1"/>
        <x:item x="0"/>
        <x:item h="1" x="2"/>
        <x:item t="default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axis="axisValues" dataField="1" showAll="0"/>
  </x:pivotFields>
  <x:rowFields count="1">
    <x:field x="2"/>
  </x:rowFields>
  <x:rowItems count="3">
    <x:i>
      <x:x v="0"/>
    </x:i>
    <x:i>
      <x:x v="1"/>
    </x:i>
    <x:i/>
  </x:rowItems>
  <x:colItems count="1">
    <x:i>
      <x:x v="0"/>
    </x:i>
  </x:colItems>
  <x:dataFields count="1">
    <x:dataField name="Average of churn_flag" fld="17" subtotal="average" baseField="2" baseItem="0" numFmtId="1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ables/table1.xml><?xml version="1.0" encoding="utf-8"?>
<x:table xmlns:x="http://schemas.openxmlformats.org/spreadsheetml/2006/main" id="1" name="subscriptions" displayName="subscriptions" ref="A1:R601" totalsRowShown="0">
  <x:autoFilter ref="A1:R601"/>
  <x:tableColumns count="18">
    <x:tableColumn id="1" name="customer_id" dataDxfId="13"/>
    <x:tableColumn id="2" name="plan" dataDxfId="12"/>
    <x:tableColumn id="3" name="billing_cycle" dataDxfId="11"/>
    <x:tableColumn id="4" name="industry" dataDxfId="10"/>
    <x:tableColumn id="5" name="company_size" dataDxfId="9"/>
    <x:tableColumn id="6" name="seats"/>
    <x:tableColumn id="7" name="monthly_revenue"/>
    <x:tableColumn id="8" name="acquisition_channel" dataDxfId="8"/>
    <x:tableColumn id="9" name="region" dataDxfId="7"/>
    <x:tableColumn id="10" name="signup_date" dataDxfId="6"/>
    <x:tableColumn id="11" name="churned" dataDxfId="5"/>
    <x:tableColumn id="12" name="churn_date" dataDxfId="4"/>
    <x:tableColumn id="13" name="churn_reason" dataDxfId="3"/>
    <x:tableColumn id="14" name="support_tickets_12mo"/>
    <x:tableColumn id="15" name="nps_score"/>
    <x:tableColumn id="16" name="feature_usage_pct"/>
    <x:tableColumn id="17" name="upgraded" dataDxfId="2"/>
    <x:tableColumn id="18" name="churn_flag" dataDxfId="0">
      <x:calculatedColumnFormula>IF(subscriptions[[#This Row],[churned]]="Yes",1,0)</x:calculatedColumnFormula>
    </x:tableColumn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2" name="monthly_revenue" displayName="monthly_revenue" ref="A1:H49" totalsRowShown="0">
  <x:autoFilter ref="A1:H49"/>
  <x:tableColumns count="8">
    <x:tableColumn id="1" name="month" dataDxfId="1"/>
    <x:tableColumn id="2" name="total_active_customers"/>
    <x:tableColumn id="3" name="new_customers"/>
    <x:tableColumn id="4" name="churned_customers"/>
    <x:tableColumn id="5" name="monthly_churn_rate_pct"/>
    <x:tableColumn id="6" name="total_mrr"/>
    <x:tableColumn id="7" name="avg_revenue_per_customer"/>
    <x:tableColumn id="8" name="customer_acquisition_cost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a82b05acdf43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068aaf91654b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b1638e475f44888" /><Relationship Type="http://schemas.openxmlformats.org/officeDocument/2006/relationships/pivotTable" Target="/xl/pivotTables/pivotTable.xml" Id="R6f41dfeb3e14468f" /><Relationship Type="http://schemas.openxmlformats.org/officeDocument/2006/relationships/pivotTable" Target="/xl/pivotTables/pivotTable2.xml" Id="R54d8220f16a34d98" /><Relationship Type="http://schemas.openxmlformats.org/officeDocument/2006/relationships/pivotTable" Target="/xl/pivotTables/pivotTable3.xml" Id="R1b89545e55964f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432b7234c594511" /></Relationships>
</file>

<file path=xl/worksheets/sheet1.xml><?xml version="1.0" encoding="utf-8"?>
<x:worksheet xmlns:x="http://schemas.openxmlformats.org/spreadsheetml/2006/main">
  <x:sheetFormatPr defaultColWidth="26.33203125" defaultRowHeight="14.399999618530273"/>
  <x:cols>
    <x:col min="10" max="10" width="26.33203125" style="1" customWidth="0"/>
    <x:col min="12" max="12" width="26.33203125" style="1" customWidth="0"/>
    <x:col min="19" max="19" width="16" hidden="0" customWidth="1"/>
    <x:col min="20" max="20" width="16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s="1" t="s">
        <x:v>9</x:v>
      </x:c>
      <x:c r="K1" t="s">
        <x:v>10</x:v>
      </x:c>
      <x:c r="L1" s="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s="15" t="str">
        <x:v>lifespan_months</x:v>
      </x:c>
      <x:c r="T1" s="15" t="str">
        <x:v>at_risk_flag</x:v>
      </x:c>
    </x:row>
    <x:row r="2">
      <x:c r="A2" t="s">
        <x:v>18</x:v>
      </x:c>
      <x:c r="B2" t="s">
        <x:v>19</x:v>
      </x:c>
      <x:c r="C2" t="s">
        <x:v>20</x:v>
      </x:c>
      <x:c r="D2" t="s">
        <x:v>21</x:v>
      </x:c>
      <x:c r="E2" t="s">
        <x:v>22</x:v>
      </x:c>
      <x:c r="F2">
        <x:v>64</x:v>
      </x:c>
      <x:c r="G2">
        <x:v>825.55</x:v>
      </x:c>
      <x:c r="H2" t="s">
        <x:v>23</x:v>
      </x:c>
      <x:c r="I2" t="s">
        <x:v>24</x:v>
      </x:c>
      <x:c r="J2" s="1">
        <x:v>44739</x:v>
      </x:c>
      <x:c r="K2" t="s">
        <x:v>25</x:v>
      </x:c>
      <x:c r="L2" s="1">
        <x:v>45356</x:v>
      </x:c>
      <x:c r="M2" t="s">
        <x:v>26</x:v>
      </x:c>
      <x:c r="N2">
        <x:v>13</x:v>
      </x:c>
      <x:c r="O2">
        <x:v>3</x:v>
      </x:c>
      <x:c r="P2">
        <x:v>15</x:v>
      </x:c>
      <x:c r="Q2" t="s">
        <x:v>27</x:v>
      </x:c>
      <x:c r="R2" t="n">
        <x:f>IF(subscriptions[[#This Row],[churned]]="Yes",1,0)</x:f>
        <x:v>1</x:v>
      </x:c>
      <x:c r="S2" s="11" t="n">
        <x:f>IF(K2="Yes",(L2-J2)/30.4375,"")</x:f>
        <x:v>20.27104722792608</x:v>
      </x:c>
      <x:c r="T2" t="str">
        <x:f>IF(AND(K2="No",P2&lt;40,O2&lt;=4),"High Risk","")</x:f>
      </x:c>
    </x:row>
    <x:row r="3">
      <x:c r="A3" t="s">
        <x:v>28</x:v>
      </x:c>
      <x:c r="B3" t="s">
        <x:v>19</x:v>
      </x:c>
      <x:c r="C3" t="s">
        <x:v>29</x:v>
      </x:c>
      <x:c r="D3" t="s">
        <x:v>21</x:v>
      </x:c>
      <x:c r="E3" t="s">
        <x:v>22</x:v>
      </x:c>
      <x:c r="F3">
        <x:v>35</x:v>
      </x:c>
      <x:c r="G3">
        <x:v>409.62</x:v>
      </x:c>
      <x:c r="H3" t="s">
        <x:v>30</x:v>
      </x:c>
      <x:c r="I3" t="s">
        <x:v>24</x:v>
      </x:c>
      <x:c r="J3" s="1">
        <x:v>45004</x:v>
      </x:c>
      <x:c r="K3" t="s">
        <x:v>27</x:v>
      </x:c>
      <x:c r="M3"/>
      <x:c r="N3">
        <x:v>1</x:v>
      </x:c>
      <x:c r="O3">
        <x:v>3</x:v>
      </x:c>
      <x:c r="P3">
        <x:v>52</x:v>
      </x:c>
      <x:c r="Q3" t="s">
        <x:v>25</x:v>
      </x:c>
      <x:c r="R3" t="n">
        <x:f>IF(subscriptions[[#This Row],[churned]]="Yes",1,0)</x:f>
        <x:v>0</x:v>
      </x:c>
      <x:c r="S3" s="11" t="str">
        <x:f>IF(K3="Yes",(L3-J3)/30.4375,"")</x:f>
      </x:c>
      <x:c r="T3" t="str">
        <x:f>IF(AND(K3="No",P3&lt;40,O3&lt;=4),"High Risk","")</x:f>
      </x:c>
    </x:row>
    <x:row r="4">
      <x:c r="A4" t="s">
        <x:v>32</x:v>
      </x:c>
      <x:c r="B4" t="s">
        <x:v>33</x:v>
      </x:c>
      <x:c r="C4" t="s">
        <x:v>29</x:v>
      </x:c>
      <x:c r="D4" t="s">
        <x:v>34</x:v>
      </x:c>
      <x:c r="E4" t="s">
        <x:v>35</x:v>
      </x:c>
      <x:c r="F4">
        <x:v>266</x:v>
      </x:c>
      <x:c r="G4">
        <x:v>1004.49</x:v>
      </x:c>
      <x:c r="H4" t="s">
        <x:v>36</x:v>
      </x:c>
      <x:c r="I4" t="s">
        <x:v>24</x:v>
      </x:c>
      <x:c r="J4" s="1">
        <x:v>45584</x:v>
      </x:c>
      <x:c r="K4" t="s">
        <x:v>25</x:v>
      </x:c>
      <x:c r="L4" s="1">
        <x:v>45760</x:v>
      </x:c>
      <x:c r="M4" t="s">
        <x:v>26</x:v>
      </x:c>
      <x:c r="N4">
        <x:v>10</x:v>
      </x:c>
      <x:c r="O4">
        <x:v>4</x:v>
      </x:c>
      <x:c r="P4">
        <x:v>31</x:v>
      </x:c>
      <x:c r="Q4" t="s">
        <x:v>27</x:v>
      </x:c>
      <x:c r="R4" t="n">
        <x:f>IF(subscriptions[[#This Row],[churned]]="Yes",1,0)</x:f>
        <x:v>1</x:v>
      </x:c>
      <x:c r="S4" s="11" t="n">
        <x:f>IF(K4="Yes",(L4-J4)/30.4375,"")</x:f>
        <x:v>5.782340862422998</x:v>
      </x:c>
      <x:c r="T4" t="str">
        <x:f>IF(AND(K4="No",P4&lt;40,O4&lt;=4),"High Risk","")</x:f>
      </x:c>
    </x:row>
    <x:row r="5">
      <x:c r="A5" t="s">
        <x:v>37</x:v>
      </x:c>
      <x:c r="B5" t="s">
        <x:v>38</x:v>
      </x:c>
      <x:c r="C5" t="s">
        <x:v>29</x:v>
      </x:c>
      <x:c r="D5" t="s">
        <x:v>39</x:v>
      </x:c>
      <x:c r="E5" t="s">
        <x:v>40</x:v>
      </x:c>
      <x:c r="F5">
        <x:v>34</x:v>
      </x:c>
      <x:c r="G5">
        <x:v>1006.44</x:v>
      </x:c>
      <x:c r="H5" t="s">
        <x:v>36</x:v>
      </x:c>
      <x:c r="I5" t="s">
        <x:v>41</x:v>
      </x:c>
      <x:c r="J5" s="1">
        <x:v>44933</x:v>
      </x:c>
      <x:c r="K5" t="s">
        <x:v>27</x:v>
      </x:c>
      <x:c r="M5"/>
      <x:c r="N5">
        <x:v>3</x:v>
      </x:c>
      <x:c r="O5">
        <x:v>7</x:v>
      </x:c>
      <x:c r="P5">
        <x:v>58</x:v>
      </x:c>
      <x:c r="Q5" t="s">
        <x:v>27</x:v>
      </x:c>
      <x:c r="R5" t="n">
        <x:f>IF(subscriptions[[#This Row],[churned]]="Yes",1,0)</x:f>
        <x:v>0</x:v>
      </x:c>
      <x:c r="S5" s="11" t="str">
        <x:f>IF(K5="Yes",(L5-J5)/30.4375,"")</x:f>
      </x:c>
      <x:c r="T5" t="str">
        <x:f>IF(AND(K5="No",P5&lt;40,O5&lt;=4),"High Risk","")</x:f>
      </x:c>
    </x:row>
    <x:row r="6">
      <x:c r="A6" t="s">
        <x:v>42</x:v>
      </x:c>
      <x:c r="B6" t="s">
        <x:v>33</x:v>
      </x:c>
      <x:c r="C6" t="s">
        <x:v>29</x:v>
      </x:c>
      <x:c r="D6" t="s">
        <x:v>43</x:v>
      </x:c>
      <x:c r="E6" t="s">
        <x:v>22</x:v>
      </x:c>
      <x:c r="F6">
        <x:v>48</x:v>
      </x:c>
      <x:c r="G6">
        <x:v>198.43</x:v>
      </x:c>
      <x:c r="H6" t="s">
        <x:v>30</x:v>
      </x:c>
      <x:c r="I6" t="s">
        <x:v>24</x:v>
      </x:c>
      <x:c r="J6" s="1">
        <x:v>45923</x:v>
      </x:c>
      <x:c r="K6" t="s">
        <x:v>27</x:v>
      </x:c>
      <x:c r="M6"/>
      <x:c r="N6">
        <x:v>3</x:v>
      </x:c>
      <x:c r="O6">
        <x:v>7</x:v>
      </x:c>
      <x:c r="P6">
        <x:v>59</x:v>
      </x:c>
      <x:c r="Q6" t="s">
        <x:v>27</x:v>
      </x:c>
      <x:c r="R6" t="n">
        <x:f>IF(subscriptions[[#This Row],[churned]]="Yes",1,0)</x:f>
        <x:v>0</x:v>
      </x:c>
      <x:c r="S6" s="11" t="str">
        <x:f>IF(K6="Yes",(L6-J6)/30.4375,"")</x:f>
      </x:c>
      <x:c r="T6" t="str">
        <x:f>IF(AND(K6="No",P6&lt;40,O6&lt;=4),"High Risk","")</x:f>
      </x:c>
    </x:row>
    <x:row r="7">
      <x:c r="A7" t="s">
        <x:v>44</x:v>
      </x:c>
      <x:c r="B7" t="s">
        <x:v>38</x:v>
      </x:c>
      <x:c r="C7" t="s">
        <x:v>29</x:v>
      </x:c>
      <x:c r="D7" t="s">
        <x:v>45</x:v>
      </x:c>
      <x:c r="E7" t="s">
        <x:v>46</x:v>
      </x:c>
      <x:c r="F7">
        <x:v>3</x:v>
      </x:c>
      <x:c r="G7">
        <x:v>219.9</x:v>
      </x:c>
      <x:c r="H7" t="s">
        <x:v>47</x:v>
      </x:c>
      <x:c r="I7" t="s">
        <x:v>24</x:v>
      </x:c>
      <x:c r="J7" s="1">
        <x:v>45197</x:v>
      </x:c>
      <x:c r="K7" t="s">
        <x:v>27</x:v>
      </x:c>
      <x:c r="M7"/>
      <x:c r="N7">
        <x:v>12</x:v>
      </x:c>
      <x:c r="O7">
        <x:v>3</x:v>
      </x:c>
      <x:c r="P7">
        <x:v>48</x:v>
      </x:c>
      <x:c r="Q7" t="s">
        <x:v>27</x:v>
      </x:c>
      <x:c r="R7" t="n">
        <x:f>IF(subscriptions[[#This Row],[churned]]="Yes",1,0)</x:f>
        <x:v>0</x:v>
      </x:c>
      <x:c r="S7" s="11" t="str">
        <x:f>IF(K7="Yes",(L7-J7)/30.4375,"")</x:f>
      </x:c>
      <x:c r="T7" t="str">
        <x:f>IF(AND(K7="No",P7&lt;40,O7&lt;=4),"High Risk","")</x:f>
      </x:c>
    </x:row>
    <x:row r="8">
      <x:c r="A8" t="s">
        <x:v>48</x:v>
      </x:c>
      <x:c r="B8" t="s">
        <x:v>33</x:v>
      </x:c>
      <x:c r="C8" t="s">
        <x:v>20</x:v>
      </x:c>
      <x:c r="D8" t="s">
        <x:v>34</x:v>
      </x:c>
      <x:c r="E8" t="s">
        <x:v>49</x:v>
      </x:c>
      <x:c r="F8">
        <x:v>121</x:v>
      </x:c>
      <x:c r="G8">
        <x:v>551</x:v>
      </x:c>
      <x:c r="H8" t="s">
        <x:v>36</x:v>
      </x:c>
      <x:c r="I8" t="s">
        <x:v>41</x:v>
      </x:c>
      <x:c r="J8" s="1">
        <x:v>45358</x:v>
      </x:c>
      <x:c r="K8" t="s">
        <x:v>25</x:v>
      </x:c>
      <x:c r="L8" s="1">
        <x:v>45755</x:v>
      </x:c>
      <x:c r="M8" t="s">
        <x:v>50</x:v>
      </x:c>
      <x:c r="N8">
        <x:v>0</x:v>
      </x:c>
      <x:c r="O8">
        <x:v>2</x:v>
      </x:c>
      <x:c r="P8">
        <x:v>14</x:v>
      </x:c>
      <x:c r="Q8" t="s">
        <x:v>27</x:v>
      </x:c>
      <x:c r="R8" t="n">
        <x:f>IF(subscriptions[[#This Row],[churned]]="Yes",1,0)</x:f>
        <x:v>1</x:v>
      </x:c>
      <x:c r="S8" s="11" t="n">
        <x:f>IF(K8="Yes",(L8-J8)/30.4375,"")</x:f>
        <x:v>13.043121149897331</x:v>
      </x:c>
      <x:c r="T8" t="str">
        <x:f>IF(AND(K8="No",P8&lt;40,O8&lt;=4),"High Risk","")</x:f>
      </x:c>
    </x:row>
    <x:row r="9">
      <x:c r="A9" t="s">
        <x:v>51</x:v>
      </x:c>
      <x:c r="B9" t="s">
        <x:v>33</x:v>
      </x:c>
      <x:c r="C9" t="s">
        <x:v>20</x:v>
      </x:c>
      <x:c r="D9" t="s">
        <x:v>45</x:v>
      </x:c>
      <x:c r="E9" t="s">
        <x:v>22</x:v>
      </x:c>
      <x:c r="F9">
        <x:v>48</x:v>
      </x:c>
      <x:c r="G9">
        <x:v>233.45</x:v>
      </x:c>
      <x:c r="H9" t="s">
        <x:v>47</x:v>
      </x:c>
      <x:c r="I9" t="s">
        <x:v>41</x:v>
      </x:c>
      <x:c r="J9" s="1">
        <x:v>45755</x:v>
      </x:c>
      <x:c r="K9" t="s">
        <x:v>25</x:v>
      </x:c>
      <x:c r="L9" s="1">
        <x:v>45816</x:v>
      </x:c>
      <x:c r="M9" t="s">
        <x:v>26</x:v>
      </x:c>
      <x:c r="N9">
        <x:v>10</x:v>
      </x:c>
      <x:c r="O9">
        <x:v>2</x:v>
      </x:c>
      <x:c r="P9">
        <x:v>28</x:v>
      </x:c>
      <x:c r="Q9" t="s">
        <x:v>27</x:v>
      </x:c>
      <x:c r="R9" t="n">
        <x:f>IF(subscriptions[[#This Row],[churned]]="Yes",1,0)</x:f>
        <x:v>1</x:v>
      </x:c>
      <x:c r="S9" s="11" t="n">
        <x:f>IF(K9="Yes",(L9-J9)/30.4375,"")</x:f>
        <x:v>2.004106776180698</x:v>
      </x:c>
      <x:c r="T9" t="str">
        <x:f>IF(AND(K9="No",P9&lt;40,O9&lt;=4),"High Risk","")</x:f>
      </x:c>
    </x:row>
    <x:row r="10">
      <x:c r="A10" t="s">
        <x:v>52</x:v>
      </x:c>
      <x:c r="B10" t="s">
        <x:v>33</x:v>
      </x:c>
      <x:c r="C10" t="s">
        <x:v>20</x:v>
      </x:c>
      <x:c r="D10" t="s">
        <x:v>53</x:v>
      </x:c>
      <x:c r="E10" t="s">
        <x:v>46</x:v>
      </x:c>
      <x:c r="F10">
        <x:v>3</x:v>
      </x:c>
      <x:c r="G10">
        <x:v>37.700000000000003</x:v>
      </x:c>
      <x:c r="H10" t="s">
        <x:v>36</x:v>
      </x:c>
      <x:c r="I10" t="s">
        <x:v>24</x:v>
      </x:c>
      <x:c r="J10" s="1">
        <x:v>44948</x:v>
      </x:c>
      <x:c r="K10" t="s">
        <x:v>25</x:v>
      </x:c>
      <x:c r="L10" s="1">
        <x:v>45037</x:v>
      </x:c>
      <x:c r="M10" t="s">
        <x:v>54</x:v>
      </x:c>
      <x:c r="N10">
        <x:v>5</x:v>
      </x:c>
      <x:c r="O10">
        <x:v>6</x:v>
      </x:c>
      <x:c r="P10">
        <x:v>15</x:v>
      </x:c>
      <x:c r="Q10" t="s">
        <x:v>27</x:v>
      </x:c>
      <x:c r="R10" t="n">
        <x:f>IF(subscriptions[[#This Row],[churned]]="Yes",1,0)</x:f>
        <x:v>1</x:v>
      </x:c>
      <x:c r="S10" s="11" t="n">
        <x:f>IF(K10="Yes",(L10-J10)/30.4375,"")</x:f>
        <x:v>2.924024640657084</x:v>
      </x:c>
      <x:c r="T10" t="str">
        <x:f>IF(AND(K10="No",P10&lt;40,O10&lt;=4),"High Risk","")</x:f>
      </x:c>
    </x:row>
    <x:row r="11">
      <x:c r="A11" t="s">
        <x:v>55</x:v>
      </x:c>
      <x:c r="B11" t="s">
        <x:v>38</x:v>
      </x:c>
      <x:c r="C11" t="s">
        <x:v>20</x:v>
      </x:c>
      <x:c r="D11" t="s">
        <x:v>56</x:v>
      </x:c>
      <x:c r="E11" t="s">
        <x:v>22</x:v>
      </x:c>
      <x:c r="F11">
        <x:v>80</x:v>
      </x:c>
      <x:c r="G11">
        <x:v>2557.15</x:v>
      </x:c>
      <x:c r="H11" t="s">
        <x:v>36</x:v>
      </x:c>
      <x:c r="I11" t="s">
        <x:v>24</x:v>
      </x:c>
      <x:c r="J11" s="1">
        <x:v>44739</x:v>
      </x:c>
      <x:c r="K11" t="s">
        <x:v>25</x:v>
      </x:c>
      <x:c r="L11" s="1">
        <x:v>45261</x:v>
      </x:c>
      <x:c r="M11" t="s">
        <x:v>57</x:v>
      </x:c>
      <x:c r="N11">
        <x:v>3</x:v>
      </x:c>
      <x:c r="O11">
        <x:v>4</x:v>
      </x:c>
      <x:c r="P11">
        <x:v>48</x:v>
      </x:c>
      <x:c r="Q11" t="s">
        <x:v>27</x:v>
      </x:c>
      <x:c r="R11" t="n">
        <x:f>IF(subscriptions[[#This Row],[churned]]="Yes",1,0)</x:f>
        <x:v>1</x:v>
      </x:c>
      <x:c r="S11" s="11" t="n">
        <x:f>IF(K11="Yes",(L11-J11)/30.4375,"")</x:f>
        <x:v>17.149897330595483</x:v>
      </x:c>
      <x:c r="T11" t="str">
        <x:f>IF(AND(K11="No",P11&lt;40,O11&lt;=4),"High Risk","")</x:f>
      </x:c>
    </x:row>
    <x:row r="12">
      <x:c r="A12" t="s">
        <x:v>58</x:v>
      </x:c>
      <x:c r="B12" t="s">
        <x:v>38</x:v>
      </x:c>
      <x:c r="C12" t="s">
        <x:v>29</x:v>
      </x:c>
      <x:c r="D12" t="s">
        <x:v>56</x:v>
      </x:c>
      <x:c r="E12" t="s">
        <x:v>49</x:v>
      </x:c>
      <x:c r="F12">
        <x:v>77</x:v>
      </x:c>
      <x:c r="G12">
        <x:v>2097.46</x:v>
      </x:c>
      <x:c r="H12" t="s">
        <x:v>23</x:v>
      </x:c>
      <x:c r="I12" t="s">
        <x:v>59</x:v>
      </x:c>
      <x:c r="J12" s="1">
        <x:v>44902</x:v>
      </x:c>
      <x:c r="K12" t="s">
        <x:v>25</x:v>
      </x:c>
      <x:c r="L12" s="1">
        <x:v>45091</x:v>
      </x:c>
      <x:c r="M12" t="s">
        <x:v>60</x:v>
      </x:c>
      <x:c r="N12">
        <x:v>9</x:v>
      </x:c>
      <x:c r="O12">
        <x:v>1</x:v>
      </x:c>
      <x:c r="P12">
        <x:v>37</x:v>
      </x:c>
      <x:c r="Q12" t="s">
        <x:v>27</x:v>
      </x:c>
      <x:c r="R12" t="n">
        <x:f>IF(subscriptions[[#This Row],[churned]]="Yes",1,0)</x:f>
        <x:v>1</x:v>
      </x:c>
      <x:c r="S12" s="11" t="n">
        <x:f>IF(K12="Yes",(L12-J12)/30.4375,"")</x:f>
        <x:v>6.209445585215605</x:v>
      </x:c>
      <x:c r="T12" t="str">
        <x:f>IF(AND(K12="No",P12&lt;40,O12&lt;=4),"High Risk","")</x:f>
      </x:c>
    </x:row>
    <x:row r="13">
      <x:c r="A13" t="s">
        <x:v>61</x:v>
      </x:c>
      <x:c r="B13" t="s">
        <x:v>38</x:v>
      </x:c>
      <x:c r="C13" t="s">
        <x:v>29</x:v>
      </x:c>
      <x:c r="D13" t="s">
        <x:v>45</x:v>
      </x:c>
      <x:c r="E13" t="s">
        <x:v>40</x:v>
      </x:c>
      <x:c r="F13">
        <x:v>30</x:v>
      </x:c>
      <x:c r="G13">
        <x:v>904.95</x:v>
      </x:c>
      <x:c r="H13" t="s">
        <x:v>47</x:v>
      </x:c>
      <x:c r="I13" t="s">
        <x:v>24</x:v>
      </x:c>
      <x:c r="J13" s="1">
        <x:v>45247</x:v>
      </x:c>
      <x:c r="K13" t="s">
        <x:v>27</x:v>
      </x:c>
      <x:c r="M13"/>
      <x:c r="N13">
        <x:v>4</x:v>
      </x:c>
      <x:c r="O13">
        <x:v>1</x:v>
      </x:c>
      <x:c r="P13">
        <x:v>47</x:v>
      </x:c>
      <x:c r="Q13" t="s">
        <x:v>25</x:v>
      </x:c>
      <x:c r="R13" t="n">
        <x:f>IF(subscriptions[[#This Row],[churned]]="Yes",1,0)</x:f>
        <x:v>0</x:v>
      </x:c>
      <x:c r="S13" s="11" t="str">
        <x:f>IF(K13="Yes",(L13-J13)/30.4375,"")</x:f>
      </x:c>
      <x:c r="T13" t="str">
        <x:f>IF(AND(K13="No",P13&lt;40,O13&lt;=4),"High Risk","")</x:f>
      </x:c>
    </x:row>
    <x:row r="14">
      <x:c r="A14" t="s">
        <x:v>62</x:v>
      </x:c>
      <x:c r="B14" t="s">
        <x:v>38</x:v>
      </x:c>
      <x:c r="C14" t="s">
        <x:v>20</x:v>
      </x:c>
      <x:c r="D14" t="s">
        <x:v>34</x:v>
      </x:c>
      <x:c r="E14" t="s">
        <x:v>46</x:v>
      </x:c>
      <x:c r="F14">
        <x:v>4</x:v>
      </x:c>
      <x:c r="G14">
        <x:v>288.55</x:v>
      </x:c>
      <x:c r="H14" t="s">
        <x:v>47</x:v>
      </x:c>
      <x:c r="I14" t="s">
        <x:v>41</x:v>
      </x:c>
      <x:c r="J14" s="1">
        <x:v>45475</x:v>
      </x:c>
      <x:c r="K14" t="s">
        <x:v>27</x:v>
      </x:c>
      <x:c r="M14"/>
      <x:c r="N14">
        <x:v>10</x:v>
      </x:c>
      <x:c r="O14">
        <x:v>9</x:v>
      </x:c>
      <x:c r="P14">
        <x:v>84</x:v>
      </x:c>
      <x:c r="Q14" t="s">
        <x:v>25</x:v>
      </x:c>
      <x:c r="R14" t="n">
        <x:f>IF(subscriptions[[#This Row],[churned]]="Yes",1,0)</x:f>
        <x:v>0</x:v>
      </x:c>
      <x:c r="S14" s="11" t="str">
        <x:f>IF(K14="Yes",(L14-J14)/30.4375,"")</x:f>
      </x:c>
      <x:c r="T14" t="str">
        <x:f>IF(AND(K14="No",P14&lt;40,O14&lt;=4),"High Risk","")</x:f>
      </x:c>
    </x:row>
    <x:row r="15">
      <x:c r="A15" t="s">
        <x:v>63</x:v>
      </x:c>
      <x:c r="B15" t="s">
        <x:v>33</x:v>
      </x:c>
      <x:c r="C15" t="s">
        <x:v>20</x:v>
      </x:c>
      <x:c r="D15" t="s">
        <x:v>21</x:v>
      </x:c>
      <x:c r="E15" t="s">
        <x:v>22</x:v>
      </x:c>
      <x:c r="F15">
        <x:v>56</x:v>
      </x:c>
      <x:c r="G15">
        <x:v>268.25</x:v>
      </x:c>
      <x:c r="H15" t="s">
        <x:v>64</x:v>
      </x:c>
      <x:c r="I15" t="s">
        <x:v>41</x:v>
      </x:c>
      <x:c r="J15" s="1">
        <x:v>44710</x:v>
      </x:c>
      <x:c r="K15" t="s">
        <x:v>25</x:v>
      </x:c>
      <x:c r="L15" s="1">
        <x:v>44831</x:v>
      </x:c>
      <x:c r="M15" t="s">
        <x:v>50</x:v>
      </x:c>
      <x:c r="N15">
        <x:v>1</x:v>
      </x:c>
      <x:c r="O15">
        <x:v>2</x:v>
      </x:c>
      <x:c r="P15">
        <x:v>21</x:v>
      </x:c>
      <x:c r="Q15" t="s">
        <x:v>27</x:v>
      </x:c>
      <x:c r="R15" t="n">
        <x:f>IF(subscriptions[[#This Row],[churned]]="Yes",1,0)</x:f>
        <x:v>1</x:v>
      </x:c>
      <x:c r="S15" s="11" t="n">
        <x:f>IF(K15="Yes",(L15-J15)/30.4375,"")</x:f>
        <x:v>3.975359342915811</x:v>
      </x:c>
      <x:c r="T15" t="str">
        <x:f>IF(AND(K15="No",P15&lt;40,O15&lt;=4),"High Risk","")</x:f>
      </x:c>
    </x:row>
    <x:row r="16">
      <x:c r="A16" t="s">
        <x:v>65</x:v>
      </x:c>
      <x:c r="B16" t="s">
        <x:v>33</x:v>
      </x:c>
      <x:c r="C16" t="s">
        <x:v>20</x:v>
      </x:c>
      <x:c r="D16" t="s">
        <x:v>66</x:v>
      </x:c>
      <x:c r="E16" t="s">
        <x:v>46</x:v>
      </x:c>
      <x:c r="F16">
        <x:v>6</x:v>
      </x:c>
      <x:c r="G16">
        <x:v>50.75</x:v>
      </x:c>
      <x:c r="H16" t="s">
        <x:v>47</x:v>
      </x:c>
      <x:c r="I16" t="s">
        <x:v>24</x:v>
      </x:c>
      <x:c r="J16" s="1">
        <x:v>45308</x:v>
      </x:c>
      <x:c r="K16" t="s">
        <x:v>25</x:v>
      </x:c>
      <x:c r="L16" s="1">
        <x:v>45428</x:v>
      </x:c>
      <x:c r="M16" t="s">
        <x:v>67</x:v>
      </x:c>
      <x:c r="N16">
        <x:v>7</x:v>
      </x:c>
      <x:c r="O16">
        <x:v>3</x:v>
      </x:c>
      <x:c r="P16">
        <x:v>25</x:v>
      </x:c>
      <x:c r="Q16" t="s">
        <x:v>27</x:v>
      </x:c>
      <x:c r="R16" t="n">
        <x:f>IF(subscriptions[[#This Row],[churned]]="Yes",1,0)</x:f>
        <x:v>1</x:v>
      </x:c>
      <x:c r="S16" s="11" t="n">
        <x:f>IF(K16="Yes",(L16-J16)/30.4375,"")</x:f>
        <x:v>3.9425051334702257</x:v>
      </x:c>
      <x:c r="T16" t="str">
        <x:f>IF(AND(K16="No",P16&lt;40,O16&lt;=4),"High Risk","")</x:f>
      </x:c>
    </x:row>
    <x:row r="17">
      <x:c r="A17" t="s">
        <x:v>68</x:v>
      </x:c>
      <x:c r="B17" t="s">
        <x:v>33</x:v>
      </x:c>
      <x:c r="C17" t="s">
        <x:v>20</x:v>
      </x:c>
      <x:c r="D17" t="s">
        <x:v>43</x:v>
      </x:c>
      <x:c r="E17" t="s">
        <x:v>49</x:v>
      </x:c>
      <x:c r="F17">
        <x:v>52</x:v>
      </x:c>
      <x:c r="G17">
        <x:v>250.85</x:v>
      </x:c>
      <x:c r="H17" t="s">
        <x:v>23</x:v>
      </x:c>
      <x:c r="I17" t="s">
        <x:v>24</x:v>
      </x:c>
      <x:c r="J17" s="1">
        <x:v>44713</x:v>
      </x:c>
      <x:c r="K17" t="s">
        <x:v>25</x:v>
      </x:c>
      <x:c r="L17" s="1">
        <x:v>44950</x:v>
      </x:c>
      <x:c r="M17" t="s">
        <x:v>57</x:v>
      </x:c>
      <x:c r="N17">
        <x:v>11</x:v>
      </x:c>
      <x:c r="O17">
        <x:v>4</x:v>
      </x:c>
      <x:c r="P17">
        <x:v>34</x:v>
      </x:c>
      <x:c r="Q17" t="s">
        <x:v>27</x:v>
      </x:c>
      <x:c r="R17" t="n">
        <x:f>IF(subscriptions[[#This Row],[churned]]="Yes",1,0)</x:f>
        <x:v>1</x:v>
      </x:c>
      <x:c r="S17" s="11" t="n">
        <x:f>IF(K17="Yes",(L17-J17)/30.4375,"")</x:f>
        <x:v>7.786447638603696</x:v>
      </x:c>
      <x:c r="T17" t="str">
        <x:f>IF(AND(K17="No",P17&lt;40,O17&lt;=4),"High Risk","")</x:f>
      </x:c>
    </x:row>
    <x:row r="18">
      <x:c r="A18" t="s">
        <x:v>69</x:v>
      </x:c>
      <x:c r="B18" t="s">
        <x:v>38</x:v>
      </x:c>
      <x:c r="C18" t="s">
        <x:v>20</x:v>
      </x:c>
      <x:c r="D18" t="s">
        <x:v>66</x:v>
      </x:c>
      <x:c r="E18" t="s">
        <x:v>40</x:v>
      </x:c>
      <x:c r="F18">
        <x:v>34</x:v>
      </x:c>
      <x:c r="G18">
        <x:v>1184.05</x:v>
      </x:c>
      <x:c r="H18" t="s">
        <x:v>64</x:v>
      </x:c>
      <x:c r="I18" t="s">
        <x:v>24</x:v>
      </x:c>
      <x:c r="J18" s="1">
        <x:v>45649</x:v>
      </x:c>
      <x:c r="K18" t="s">
        <x:v>25</x:v>
      </x:c>
      <x:c r="L18" s="1">
        <x:v>45657</x:v>
      </x:c>
      <x:c r="M18" t="s">
        <x:v>67</x:v>
      </x:c>
      <x:c r="N18">
        <x:v>3</x:v>
      </x:c>
      <x:c r="O18">
        <x:v>3</x:v>
      </x:c>
      <x:c r="P18">
        <x:v>49</x:v>
      </x:c>
      <x:c r="Q18" t="s">
        <x:v>27</x:v>
      </x:c>
      <x:c r="R18" t="n">
        <x:f>IF(subscriptions[[#This Row],[churned]]="Yes",1,0)</x:f>
        <x:v>1</x:v>
      </x:c>
      <x:c r="S18" s="11" t="n">
        <x:f>IF(K18="Yes",(L18-J18)/30.4375,"")</x:f>
        <x:v>0.26283367556468173</x:v>
      </x:c>
      <x:c r="T18" t="str">
        <x:f>IF(AND(K18="No",P18&lt;40,O18&lt;=4),"High Risk","")</x:f>
      </x:c>
    </x:row>
    <x:row r="19">
      <x:c r="A19" t="s">
        <x:v>70</x:v>
      </x:c>
      <x:c r="B19" t="s">
        <x:v>33</x:v>
      </x:c>
      <x:c r="C19" t="s">
        <x:v>20</x:v>
      </x:c>
      <x:c r="D19" t="s">
        <x:v>53</x:v>
      </x:c>
      <x:c r="E19" t="s">
        <x:v>22</x:v>
      </x:c>
      <x:c r="F19">
        <x:v>64</x:v>
      </x:c>
      <x:c r="G19">
        <x:v>303.05</x:v>
      </x:c>
      <x:c r="H19" t="s">
        <x:v>47</x:v>
      </x:c>
      <x:c r="I19" t="s">
        <x:v>41</x:v>
      </x:c>
      <x:c r="J19" s="1">
        <x:v>45098</x:v>
      </x:c>
      <x:c r="K19" t="s">
        <x:v>25</x:v>
      </x:c>
      <x:c r="L19" s="1">
        <x:v>45143</x:v>
      </x:c>
      <x:c r="M19" t="s">
        <x:v>60</x:v>
      </x:c>
      <x:c r="N19">
        <x:v>14</x:v>
      </x:c>
      <x:c r="O19">
        <x:v>3</x:v>
      </x:c>
      <x:c r="P19">
        <x:v>25</x:v>
      </x:c>
      <x:c r="Q19" t="s">
        <x:v>27</x:v>
      </x:c>
      <x:c r="R19" t="n">
        <x:f>IF(subscriptions[[#This Row],[churned]]="Yes",1,0)</x:f>
        <x:v>1</x:v>
      </x:c>
      <x:c r="S19" s="11" t="n">
        <x:f>IF(K19="Yes",(L19-J19)/30.4375,"")</x:f>
        <x:v>1.4784394250513346</x:v>
      </x:c>
      <x:c r="T19" t="str">
        <x:f>IF(AND(K19="No",P19&lt;40,O19&lt;=4),"High Risk","")</x:f>
      </x:c>
    </x:row>
    <x:row r="20">
      <x:c r="A20" t="s">
        <x:v>71</x:v>
      </x:c>
      <x:c r="B20" t="s">
        <x:v>19</x:v>
      </x:c>
      <x:c r="C20" t="s">
        <x:v>29</x:v>
      </x:c>
      <x:c r="D20" t="s">
        <x:v>72</x:v>
      </x:c>
      <x:c r="E20" t="s">
        <x:v>35</x:v>
      </x:c>
      <x:c r="F20">
        <x:v>67</x:v>
      </x:c>
      <x:c r="G20">
        <x:v>731.93</x:v>
      </x:c>
      <x:c r="H20" t="s">
        <x:v>36</x:v>
      </x:c>
      <x:c r="I20" t="s">
        <x:v>73</x:v>
      </x:c>
      <x:c r="J20" s="1">
        <x:v>45377</x:v>
      </x:c>
      <x:c r="K20" t="s">
        <x:v>25</x:v>
      </x:c>
      <x:c r="L20" s="1">
        <x:v>45770</x:v>
      </x:c>
      <x:c r="M20" t="s">
        <x:v>60</x:v>
      </x:c>
      <x:c r="N20">
        <x:v>10</x:v>
      </x:c>
      <x:c r="O20">
        <x:v>2</x:v>
      </x:c>
      <x:c r="P20">
        <x:v>10</x:v>
      </x:c>
      <x:c r="Q20" t="s">
        <x:v>27</x:v>
      </x:c>
      <x:c r="R20" t="n">
        <x:f>IF(subscriptions[[#This Row],[churned]]="Yes",1,0)</x:f>
        <x:v>1</x:v>
      </x:c>
      <x:c r="S20" s="11" t="n">
        <x:f>IF(K20="Yes",(L20-J20)/30.4375,"")</x:f>
        <x:v>12.91170431211499</x:v>
      </x:c>
      <x:c r="T20" t="str">
        <x:f>IF(AND(K20="No",P20&lt;40,O20&lt;=4),"High Risk","")</x:f>
      </x:c>
    </x:row>
    <x:row r="21">
      <x:c r="A21" t="s">
        <x:v>74</x:v>
      </x:c>
      <x:c r="B21" t="s">
        <x:v>75</x:v>
      </x:c>
      <x:c r="C21" t="s">
        <x:v>29</x:v>
      </x:c>
      <x:c r="D21" t="s">
        <x:v>66</x:v>
      </x:c>
      <x:c r="E21" t="s">
        <x:v>46</x:v>
      </x:c>
      <x:c r="F21">
        <x:v>7</x:v>
      </x:c>
      <x:c r="G21">
        <x:v>805.88</x:v>
      </x:c>
      <x:c r="H21" t="s">
        <x:v>23</x:v>
      </x:c>
      <x:c r="I21" t="s">
        <x:v>59</x:v>
      </x:c>
      <x:c r="J21" s="1">
        <x:v>45149</x:v>
      </x:c>
      <x:c r="K21" t="s">
        <x:v>27</x:v>
      </x:c>
      <x:c r="M21"/>
      <x:c r="N21">
        <x:v>8</x:v>
      </x:c>
      <x:c r="O21">
        <x:v>4</x:v>
      </x:c>
      <x:c r="P21">
        <x:v>93</x:v>
      </x:c>
      <x:c r="Q21" t="s">
        <x:v>27</x:v>
      </x:c>
      <x:c r="R21" t="n">
        <x:f>IF(subscriptions[[#This Row],[churned]]="Yes",1,0)</x:f>
        <x:v>0</x:v>
      </x:c>
      <x:c r="S21" s="11" t="str">
        <x:f>IF(K21="Yes",(L21-J21)/30.4375,"")</x:f>
      </x:c>
      <x:c r="T21" t="str">
        <x:f>IF(AND(K21="No",P21&lt;40,O21&lt;=4),"High Risk","")</x:f>
      </x:c>
    </x:row>
    <x:row r="22">
      <x:c r="A22" t="s">
        <x:v>76</x:v>
      </x:c>
      <x:c r="B22" t="s">
        <x:v>19</x:v>
      </x:c>
      <x:c r="C22" t="s">
        <x:v>29</x:v>
      </x:c>
      <x:c r="D22" t="s">
        <x:v>21</x:v>
      </x:c>
      <x:c r="E22" t="s">
        <x:v>22</x:v>
      </x:c>
      <x:c r="F22">
        <x:v>66</x:v>
      </x:c>
      <x:c r="G22">
        <x:v>721.86</x:v>
      </x:c>
      <x:c r="H22" t="s">
        <x:v>36</x:v>
      </x:c>
      <x:c r="I22" t="s">
        <x:v>41</x:v>
      </x:c>
      <x:c r="J22" s="1">
        <x:v>45253</x:v>
      </x:c>
      <x:c r="K22" t="s">
        <x:v>25</x:v>
      </x:c>
      <x:c r="L22" s="1">
        <x:v>45430</x:v>
      </x:c>
      <x:c r="M22" t="s">
        <x:v>26</x:v>
      </x:c>
      <x:c r="N22">
        <x:v>7</x:v>
      </x:c>
      <x:c r="O22">
        <x:v>2</x:v>
      </x:c>
      <x:c r="P22">
        <x:v>19</x:v>
      </x:c>
      <x:c r="Q22" t="s">
        <x:v>27</x:v>
      </x:c>
      <x:c r="R22" t="n">
        <x:f>IF(subscriptions[[#This Row],[churned]]="Yes",1,0)</x:f>
        <x:v>1</x:v>
      </x:c>
      <x:c r="S22" s="11" t="n">
        <x:f>IF(K22="Yes",(L22-J22)/30.4375,"")</x:f>
        <x:v>5.815195071868583</x:v>
      </x:c>
      <x:c r="T22" t="str">
        <x:f>IF(AND(K22="No",P22&lt;40,O22&lt;=4),"High Risk","")</x:f>
      </x:c>
    </x:row>
    <x:row r="23">
      <x:c r="A23" t="s">
        <x:v>77</x:v>
      </x:c>
      <x:c r="B23" t="s">
        <x:v>38</x:v>
      </x:c>
      <x:c r="C23" t="s">
        <x:v>29</x:v>
      </x:c>
      <x:c r="D23" t="s">
        <x:v>66</x:v>
      </x:c>
      <x:c r="E23" t="s">
        <x:v>46</x:v>
      </x:c>
      <x:c r="F23">
        <x:v>6</x:v>
      </x:c>
      <x:c r="G23">
        <x:v>296.01</x:v>
      </x:c>
      <x:c r="H23" t="s">
        <x:v>47</x:v>
      </x:c>
      <x:c r="I23" t="s">
        <x:v>41</x:v>
      </x:c>
      <x:c r="J23" s="1">
        <x:v>44744</x:v>
      </x:c>
      <x:c r="K23" t="s">
        <x:v>27</x:v>
      </x:c>
      <x:c r="M23"/>
      <x:c r="N23">
        <x:v>5</x:v>
      </x:c>
      <x:c r="O23">
        <x:v>7</x:v>
      </x:c>
      <x:c r="P23">
        <x:v>40</x:v>
      </x:c>
      <x:c r="Q23" t="s">
        <x:v>27</x:v>
      </x:c>
      <x:c r="R23" t="n">
        <x:f>IF(subscriptions[[#This Row],[churned]]="Yes",1,0)</x:f>
        <x:v>0</x:v>
      </x:c>
      <x:c r="S23" s="11" t="str">
        <x:f>IF(K23="Yes",(L23-J23)/30.4375,"")</x:f>
      </x:c>
      <x:c r="T23" t="str">
        <x:f>IF(AND(K23="No",P23&lt;40,O23&lt;=4),"High Risk","")</x:f>
      </x:c>
    </x:row>
    <x:row r="24">
      <x:c r="A24" t="s">
        <x:v>78</x:v>
      </x:c>
      <x:c r="B24" t="s">
        <x:v>33</x:v>
      </x:c>
      <x:c r="C24" t="s">
        <x:v>20</x:v>
      </x:c>
      <x:c r="D24" t="s">
        <x:v>56</x:v>
      </x:c>
      <x:c r="E24" t="s">
        <x:v>40</x:v>
      </x:c>
      <x:c r="F24">
        <x:v>25</x:v>
      </x:c>
      <x:c r="G24">
        <x:v>133.4</x:v>
      </x:c>
      <x:c r="H24" t="s">
        <x:v>64</x:v>
      </x:c>
      <x:c r="I24" t="s">
        <x:v>41</x:v>
      </x:c>
      <x:c r="J24" s="1">
        <x:v>45339</x:v>
      </x:c>
      <x:c r="K24" t="s">
        <x:v>25</x:v>
      </x:c>
      <x:c r="L24" s="1">
        <x:v>45405</x:v>
      </x:c>
      <x:c r="M24" t="s">
        <x:v>60</x:v>
      </x:c>
      <x:c r="N24">
        <x:v>11</x:v>
      </x:c>
      <x:c r="O24">
        <x:v>1</x:v>
      </x:c>
      <x:c r="P24">
        <x:v>16</x:v>
      </x:c>
      <x:c r="Q24" t="s">
        <x:v>27</x:v>
      </x:c>
      <x:c r="R24" t="n">
        <x:f>IF(subscriptions[[#This Row],[churned]]="Yes",1,0)</x:f>
        <x:v>1</x:v>
      </x:c>
      <x:c r="S24" s="11" t="n">
        <x:f>IF(K24="Yes",(L24-J24)/30.4375,"")</x:f>
        <x:v>2.1683778234086244</x:v>
      </x:c>
      <x:c r="T24" t="str">
        <x:f>IF(AND(K24="No",P24&lt;40,O24&lt;=4),"High Risk","")</x:f>
      </x:c>
    </x:row>
    <x:row r="25">
      <x:c r="A25" t="s">
        <x:v>79</x:v>
      </x:c>
      <x:c r="B25" t="s">
        <x:v>75</x:v>
      </x:c>
      <x:c r="C25" t="s">
        <x:v>29</x:v>
      </x:c>
      <x:c r="D25" t="s">
        <x:v>43</x:v>
      </x:c>
      <x:c r="E25" t="s">
        <x:v>40</x:v>
      </x:c>
      <x:c r="F25">
        <x:v>14</x:v>
      </x:c>
      <x:c r="G25">
        <x:v>1251.24</x:v>
      </x:c>
      <x:c r="H25" t="s">
        <x:v>47</x:v>
      </x:c>
      <x:c r="I25" t="s">
        <x:v>41</x:v>
      </x:c>
      <x:c r="J25" s="1">
        <x:v>45799</x:v>
      </x:c>
      <x:c r="K25" t="s">
        <x:v>27</x:v>
      </x:c>
      <x:c r="M25"/>
      <x:c r="N25">
        <x:v>11</x:v>
      </x:c>
      <x:c r="O25">
        <x:v>1</x:v>
      </x:c>
      <x:c r="P25">
        <x:v>85</x:v>
      </x:c>
      <x:c r="Q25" t="s">
        <x:v>27</x:v>
      </x:c>
      <x:c r="R25" t="n">
        <x:f>IF(subscriptions[[#This Row],[churned]]="Yes",1,0)</x:f>
        <x:v>0</x:v>
      </x:c>
      <x:c r="S25" s="11" t="str">
        <x:f>IF(K25="Yes",(L25-J25)/30.4375,"")</x:f>
      </x:c>
      <x:c r="T25" t="str">
        <x:f>IF(AND(K25="No",P25&lt;40,O25&lt;=4),"High Risk","")</x:f>
      </x:c>
    </x:row>
    <x:row r="26">
      <x:c r="A26" t="s">
        <x:v>80</x:v>
      </x:c>
      <x:c r="B26" t="s">
        <x:v>33</x:v>
      </x:c>
      <x:c r="C26" t="s">
        <x:v>29</x:v>
      </x:c>
      <x:c r="D26" t="s">
        <x:v>21</x:v>
      </x:c>
      <x:c r="E26" t="s">
        <x:v>40</x:v>
      </x:c>
      <x:c r="F26">
        <x:v>7</x:v>
      </x:c>
      <x:c r="G26">
        <x:v>46.83</x:v>
      </x:c>
      <x:c r="H26" t="s">
        <x:v>47</x:v>
      </x:c>
      <x:c r="I26" t="s">
        <x:v>24</x:v>
      </x:c>
      <x:c r="J26" s="1">
        <x:v>45451</x:v>
      </x:c>
      <x:c r="K26" t="s">
        <x:v>27</x:v>
      </x:c>
      <x:c r="M26"/>
      <x:c r="N26">
        <x:v>1</x:v>
      </x:c>
      <x:c r="O26">
        <x:v>1</x:v>
      </x:c>
      <x:c r="P26">
        <x:v>42</x:v>
      </x:c>
      <x:c r="Q26" t="s">
        <x:v>27</x:v>
      </x:c>
      <x:c r="R26" t="n">
        <x:f>IF(subscriptions[[#This Row],[churned]]="Yes",1,0)</x:f>
        <x:v>0</x:v>
      </x:c>
      <x:c r="S26" s="11" t="str">
        <x:f>IF(K26="Yes",(L26-J26)/30.4375,"")</x:f>
      </x:c>
      <x:c r="T26" t="str">
        <x:f>IF(AND(K26="No",P26&lt;40,O26&lt;=4),"High Risk","")</x:f>
      </x:c>
    </x:row>
    <x:row r="27">
      <x:c r="A27" t="s">
        <x:v>81</x:v>
      </x:c>
      <x:c r="B27" t="s">
        <x:v>75</x:v>
      </x:c>
      <x:c r="C27" t="s">
        <x:v>29</x:v>
      </x:c>
      <x:c r="D27" t="s">
        <x:v>53</x:v>
      </x:c>
      <x:c r="E27" t="s">
        <x:v>46</x:v>
      </x:c>
      <x:c r="F27">
        <x:v>4</x:v>
      </x:c>
      <x:c r="G27">
        <x:v>615.02</x:v>
      </x:c>
      <x:c r="H27" t="s">
        <x:v>47</x:v>
      </x:c>
      <x:c r="I27" t="s">
        <x:v>41</x:v>
      </x:c>
      <x:c r="J27" s="1">
        <x:v>45863</x:v>
      </x:c>
      <x:c r="K27" t="s">
        <x:v>27</x:v>
      </x:c>
      <x:c r="M27"/>
      <x:c r="N27">
        <x:v>2</x:v>
      </x:c>
      <x:c r="O27">
        <x:v>9</x:v>
      </x:c>
      <x:c r="P27">
        <x:v>73</x:v>
      </x:c>
      <x:c r="Q27" t="s">
        <x:v>27</x:v>
      </x:c>
      <x:c r="R27" t="n">
        <x:f>IF(subscriptions[[#This Row],[churned]]="Yes",1,0)</x:f>
        <x:v>0</x:v>
      </x:c>
      <x:c r="S27" s="11" t="str">
        <x:f>IF(K27="Yes",(L27-J27)/30.4375,"")</x:f>
      </x:c>
      <x:c r="T27" t="str">
        <x:f>IF(AND(K27="No",P27&lt;40,O27&lt;=4),"High Risk","")</x:f>
      </x:c>
    </x:row>
    <x:row r="28">
      <x:c r="A28" t="s">
        <x:v>82</x:v>
      </x:c>
      <x:c r="B28" t="s">
        <x:v>33</x:v>
      </x:c>
      <x:c r="C28" t="s">
        <x:v>20</x:v>
      </x:c>
      <x:c r="D28" t="s">
        <x:v>83</x:v>
      </x:c>
      <x:c r="E28" t="s">
        <x:v>46</x:v>
      </x:c>
      <x:c r="F28">
        <x:v>1</x:v>
      </x:c>
      <x:c r="G28">
        <x:v>29</x:v>
      </x:c>
      <x:c r="H28" t="s">
        <x:v>36</x:v>
      </x:c>
      <x:c r="I28" t="s">
        <x:v>59</x:v>
      </x:c>
      <x:c r="J28" s="1">
        <x:v>45179</x:v>
      </x:c>
      <x:c r="K28" t="s">
        <x:v>25</x:v>
      </x:c>
      <x:c r="L28" s="1">
        <x:v>45771</x:v>
      </x:c>
      <x:c r="M28" t="s">
        <x:v>50</x:v>
      </x:c>
      <x:c r="N28">
        <x:v>8</x:v>
      </x:c>
      <x:c r="O28">
        <x:v>3</x:v>
      </x:c>
      <x:c r="P28">
        <x:v>10</x:v>
      </x:c>
      <x:c r="Q28" t="s">
        <x:v>27</x:v>
      </x:c>
      <x:c r="R28" t="n">
        <x:f>IF(subscriptions[[#This Row],[churned]]="Yes",1,0)</x:f>
        <x:v>1</x:v>
      </x:c>
      <x:c r="S28" s="11" t="n">
        <x:f>IF(K28="Yes",(L28-J28)/30.4375,"")</x:f>
        <x:v>19.449691991786448</x:v>
      </x:c>
      <x:c r="T28" t="str">
        <x:f>IF(AND(K28="No",P28&lt;40,O28&lt;=4),"High Risk","")</x:f>
      </x:c>
    </x:row>
    <x:row r="29">
      <x:c r="A29" t="s">
        <x:v>84</x:v>
      </x:c>
      <x:c r="B29" t="s">
        <x:v>19</x:v>
      </x:c>
      <x:c r="C29" t="s">
        <x:v>29</x:v>
      </x:c>
      <x:c r="D29" t="s">
        <x:v>45</x:v>
      </x:c>
      <x:c r="E29" t="s">
        <x:v>22</x:v>
      </x:c>
      <x:c r="F29">
        <x:v>35</x:v>
      </x:c>
      <x:c r="G29">
        <x:v>409.62</x:v>
      </x:c>
      <x:c r="H29" t="s">
        <x:v>23</x:v>
      </x:c>
      <x:c r="I29" t="s">
        <x:v>73</x:v>
      </x:c>
      <x:c r="J29" s="1">
        <x:v>46020</x:v>
      </x:c>
      <x:c r="K29" t="s">
        <x:v>27</x:v>
      </x:c>
      <x:c r="M29"/>
      <x:c r="N29">
        <x:v>8</x:v>
      </x:c>
      <x:c r="O29">
        <x:v>4</x:v>
      </x:c>
      <x:c r="P29">
        <x:v>53</x:v>
      </x:c>
      <x:c r="Q29" t="s">
        <x:v>27</x:v>
      </x:c>
      <x:c r="R29" t="n">
        <x:f>IF(subscriptions[[#This Row],[churned]]="Yes",1,0)</x:f>
        <x:v>0</x:v>
      </x:c>
      <x:c r="S29" s="11" t="str">
        <x:f>IF(K29="Yes",(L29-J29)/30.4375,"")</x:f>
      </x:c>
      <x:c r="T29" t="str">
        <x:f>IF(AND(K29="No",P29&lt;40,O29&lt;=4),"High Risk","")</x:f>
      </x:c>
    </x:row>
    <x:row r="30">
      <x:c r="A30" t="s">
        <x:v>85</x:v>
      </x:c>
      <x:c r="B30" t="s">
        <x:v>33</x:v>
      </x:c>
      <x:c r="C30" t="s">
        <x:v>20</x:v>
      </x:c>
      <x:c r="D30" t="s">
        <x:v>39</x:v>
      </x:c>
      <x:c r="E30" t="s">
        <x:v>40</x:v>
      </x:c>
      <x:c r="F30">
        <x:v>22</x:v>
      </x:c>
      <x:c r="G30">
        <x:v>120.35</x:v>
      </x:c>
      <x:c r="H30" t="s">
        <x:v>23</x:v>
      </x:c>
      <x:c r="I30" t="s">
        <x:v>24</x:v>
      </x:c>
      <x:c r="J30" s="1">
        <x:v>44901</x:v>
      </x:c>
      <x:c r="K30" t="s">
        <x:v>25</x:v>
      </x:c>
      <x:c r="L30" s="1">
        <x:v>45153</x:v>
      </x:c>
      <x:c r="M30" t="s">
        <x:v>86</x:v>
      </x:c>
      <x:c r="N30">
        <x:v>4</x:v>
      </x:c>
      <x:c r="O30">
        <x:v>2</x:v>
      </x:c>
      <x:c r="P30">
        <x:v>17</x:v>
      </x:c>
      <x:c r="Q30" t="s">
        <x:v>27</x:v>
      </x:c>
      <x:c r="R30" t="n">
        <x:f>IF(subscriptions[[#This Row],[churned]]="Yes",1,0)</x:f>
        <x:v>1</x:v>
      </x:c>
      <x:c r="S30" s="11" t="n">
        <x:f>IF(K30="Yes",(L30-J30)/30.4375,"")</x:f>
        <x:v>8.279260780287474</x:v>
      </x:c>
      <x:c r="T30" t="str">
        <x:f>IF(AND(K30="No",P30&lt;40,O30&lt;=4),"High Risk","")</x:f>
      </x:c>
    </x:row>
    <x:row r="31">
      <x:c r="A31" t="s">
        <x:v>87</x:v>
      </x:c>
      <x:c r="B31" t="s">
        <x:v>38</x:v>
      </x:c>
      <x:c r="C31" t="s">
        <x:v>29</x:v>
      </x:c>
      <x:c r="D31" t="s">
        <x:v>39</x:v>
      </x:c>
      <x:c r="E31" t="s">
        <x:v>35</x:v>
      </x:c>
      <x:c r="F31">
        <x:v>230</x:v>
      </x:c>
      <x:c r="G31">
        <x:v>5979.45</x:v>
      </x:c>
      <x:c r="H31" t="s">
        <x:v>36</x:v>
      </x:c>
      <x:c r="I31" t="s">
        <x:v>41</x:v>
      </x:c>
      <x:c r="J31" s="1">
        <x:v>45234</x:v>
      </x:c>
      <x:c r="K31" t="s">
        <x:v>27</x:v>
      </x:c>
      <x:c r="M31"/>
      <x:c r="N31">
        <x:v>9</x:v>
      </x:c>
      <x:c r="O31">
        <x:v>3</x:v>
      </x:c>
      <x:c r="P31">
        <x:v>76</x:v>
      </x:c>
      <x:c r="Q31" t="s">
        <x:v>27</x:v>
      </x:c>
      <x:c r="R31" t="n">
        <x:f>IF(subscriptions[[#This Row],[churned]]="Yes",1,0)</x:f>
        <x:v>0</x:v>
      </x:c>
      <x:c r="S31" s="11" t="str">
        <x:f>IF(K31="Yes",(L31-J31)/30.4375,"")</x:f>
      </x:c>
      <x:c r="T31" t="str">
        <x:f>IF(AND(K31="No",P31&lt;40,O31&lt;=4),"High Risk","")</x:f>
      </x:c>
    </x:row>
    <x:row r="32">
      <x:c r="A32" t="s">
        <x:v>88</x:v>
      </x:c>
      <x:c r="B32" t="s">
        <x:v>38</x:v>
      </x:c>
      <x:c r="C32" t="s">
        <x:v>29</x:v>
      </x:c>
      <x:c r="D32" t="s">
        <x:v>34</x:v>
      </x:c>
      <x:c r="E32" t="s">
        <x:v>35</x:v>
      </x:c>
      <x:c r="F32">
        <x:v>174</x:v>
      </x:c>
      <x:c r="G32">
        <x:v>4558.59</x:v>
      </x:c>
      <x:c r="H32" t="s">
        <x:v>30</x:v>
      </x:c>
      <x:c r="I32" t="s">
        <x:v>41</x:v>
      </x:c>
      <x:c r="J32" s="1">
        <x:v>45493</x:v>
      </x:c>
      <x:c r="K32" t="s">
        <x:v>27</x:v>
      </x:c>
      <x:c r="M32"/>
      <x:c r="N32">
        <x:v>8</x:v>
      </x:c>
      <x:c r="O32">
        <x:v>7</x:v>
      </x:c>
      <x:c r="P32">
        <x:v>84</x:v>
      </x:c>
      <x:c r="Q32" t="s">
        <x:v>27</x:v>
      </x:c>
      <x:c r="R32" t="n">
        <x:f>IF(subscriptions[[#This Row],[churned]]="Yes",1,0)</x:f>
        <x:v>0</x:v>
      </x:c>
      <x:c r="S32" s="11" t="str">
        <x:f>IF(K32="Yes",(L32-J32)/30.4375,"")</x:f>
      </x:c>
      <x:c r="T32" t="str">
        <x:f>IF(AND(K32="No",P32&lt;40,O32&lt;=4),"High Risk","")</x:f>
      </x:c>
    </x:row>
    <x:row r="33">
      <x:c r="A33" t="s">
        <x:v>89</x:v>
      </x:c>
      <x:c r="B33" t="s">
        <x:v>75</x:v>
      </x:c>
      <x:c r="C33" t="s">
        <x:v>29</x:v>
      </x:c>
      <x:c r="D33" t="s">
        <x:v>45</x:v>
      </x:c>
      <x:c r="E33" t="s">
        <x:v>46</x:v>
      </x:c>
      <x:c r="F33">
        <x:v>5</x:v>
      </x:c>
      <x:c r="G33">
        <x:v>678.64</x:v>
      </x:c>
      <x:c r="H33" t="s">
        <x:v>47</x:v>
      </x:c>
      <x:c r="I33" t="s">
        <x:v>24</x:v>
      </x:c>
      <x:c r="J33" s="1">
        <x:v>45013</x:v>
      </x:c>
      <x:c r="K33" t="s">
        <x:v>27</x:v>
      </x:c>
      <x:c r="M33"/>
      <x:c r="N33">
        <x:v>7</x:v>
      </x:c>
      <x:c r="O33">
        <x:v>8</x:v>
      </x:c>
      <x:c r="P33">
        <x:v>16</x:v>
      </x:c>
      <x:c r="Q33" t="s">
        <x:v>27</x:v>
      </x:c>
      <x:c r="R33" t="n">
        <x:f>IF(subscriptions[[#This Row],[churned]]="Yes",1,0)</x:f>
        <x:v>0</x:v>
      </x:c>
      <x:c r="S33" s="11" t="str">
        <x:f>IF(K33="Yes",(L33-J33)/30.4375,"")</x:f>
      </x:c>
      <x:c r="T33" t="str">
        <x:f>IF(AND(K33="No",P33&lt;40,O33&lt;=4),"High Risk","")</x:f>
      </x:c>
    </x:row>
    <x:row r="34">
      <x:c r="A34" t="s">
        <x:v>90</x:v>
      </x:c>
      <x:c r="B34" t="s">
        <x:v>33</x:v>
      </x:c>
      <x:c r="C34" t="s">
        <x:v>29</x:v>
      </x:c>
      <x:c r="D34" t="s">
        <x:v>83</x:v>
      </x:c>
      <x:c r="E34" t="s">
        <x:v>46</x:v>
      </x:c>
      <x:c r="F34">
        <x:v>6</x:v>
      </x:c>
      <x:c r="G34">
        <x:v>43.14</x:v>
      </x:c>
      <x:c r="H34" t="s">
        <x:v>23</x:v>
      </x:c>
      <x:c r="I34" t="s">
        <x:v>73</x:v>
      </x:c>
      <x:c r="J34" s="1">
        <x:v>45431</x:v>
      </x:c>
      <x:c r="K34" t="s">
        <x:v>25</x:v>
      </x:c>
      <x:c r="L34" s="1">
        <x:v>45502</x:v>
      </x:c>
      <x:c r="M34" t="s">
        <x:v>67</x:v>
      </x:c>
      <x:c r="N34">
        <x:v>11</x:v>
      </x:c>
      <x:c r="O34">
        <x:v>3</x:v>
      </x:c>
      <x:c r="P34">
        <x:v>30</x:v>
      </x:c>
      <x:c r="Q34" t="s">
        <x:v>27</x:v>
      </x:c>
      <x:c r="R34" t="n">
        <x:f>IF(subscriptions[[#This Row],[churned]]="Yes",1,0)</x:f>
        <x:v>1</x:v>
      </x:c>
      <x:c r="S34" s="11" t="n">
        <x:f>IF(K34="Yes",(L34-J34)/30.4375,"")</x:f>
        <x:v>2.3326488706365502</x:v>
      </x:c>
      <x:c r="T34" t="str">
        <x:f>IF(AND(K34="No",P34&lt;40,O34&lt;=4),"High Risk","")</x:f>
      </x:c>
    </x:row>
    <x:row r="35">
      <x:c r="A35" t="s">
        <x:v>91</x:v>
      </x:c>
      <x:c r="B35" t="s">
        <x:v>75</x:v>
      </x:c>
      <x:c r="C35" t="s">
        <x:v>29</x:v>
      </x:c>
      <x:c r="D35" t="s">
        <x:v>66</x:v>
      </x:c>
      <x:c r="E35" t="s">
        <x:v>40</x:v>
      </x:c>
      <x:c r="F35">
        <x:v>35</x:v>
      </x:c>
      <x:c r="G35">
        <x:v>2587.3200000000002</x:v>
      </x:c>
      <x:c r="H35" t="s">
        <x:v>47</x:v>
      </x:c>
      <x:c r="I35" t="s">
        <x:v>24</x:v>
      </x:c>
      <x:c r="J35" s="1">
        <x:v>45194</x:v>
      </x:c>
      <x:c r="K35" t="s">
        <x:v>27</x:v>
      </x:c>
      <x:c r="M35"/>
      <x:c r="N35">
        <x:v>5</x:v>
      </x:c>
      <x:c r="O35">
        <x:v>8</x:v>
      </x:c>
      <x:c r="P35">
        <x:v>33</x:v>
      </x:c>
      <x:c r="Q35" t="s">
        <x:v>25</x:v>
      </x:c>
      <x:c r="R35" t="n">
        <x:f>IF(subscriptions[[#This Row],[churned]]="Yes",1,0)</x:f>
        <x:v>0</x:v>
      </x:c>
      <x:c r="S35" s="11" t="str">
        <x:f>IF(K35="Yes",(L35-J35)/30.4375,"")</x:f>
      </x:c>
      <x:c r="T35" t="str">
        <x:f>IF(AND(K35="No",P35&lt;40,O35&lt;=4),"High Risk","")</x:f>
      </x:c>
    </x:row>
    <x:row r="36">
      <x:c r="A36" t="s">
        <x:v>92</x:v>
      </x:c>
      <x:c r="B36" t="s">
        <x:v>33</x:v>
      </x:c>
      <x:c r="C36" t="s">
        <x:v>20</x:v>
      </x:c>
      <x:c r="D36" t="s">
        <x:v>43</x:v>
      </x:c>
      <x:c r="E36" t="s">
        <x:v>22</x:v>
      </x:c>
      <x:c r="F36">
        <x:v>70</x:v>
      </x:c>
      <x:c r="G36">
        <x:v>329.15</x:v>
      </x:c>
      <x:c r="H36" t="s">
        <x:v>23</x:v>
      </x:c>
      <x:c r="I36" t="s">
        <x:v>73</x:v>
      </x:c>
      <x:c r="J36" s="1">
        <x:v>44689</x:v>
      </x:c>
      <x:c r="K36" t="s">
        <x:v>25</x:v>
      </x:c>
      <x:c r="L36" s="1">
        <x:v>44766</x:v>
      </x:c>
      <x:c r="M36" t="s">
        <x:v>54</x:v>
      </x:c>
      <x:c r="N36">
        <x:v>0</x:v>
      </x:c>
      <x:c r="O36">
        <x:v>6</x:v>
      </x:c>
      <x:c r="P36">
        <x:v>30</x:v>
      </x:c>
      <x:c r="Q36" t="s">
        <x:v>27</x:v>
      </x:c>
      <x:c r="R36" t="n">
        <x:f>IF(subscriptions[[#This Row],[churned]]="Yes",1,0)</x:f>
        <x:v>1</x:v>
      </x:c>
      <x:c r="S36" s="11" t="n">
        <x:f>IF(K36="Yes",(L36-J36)/30.4375,"")</x:f>
        <x:v>2.529774127310062</x:v>
      </x:c>
      <x:c r="T36" t="str">
        <x:f>IF(AND(K36="No",P36&lt;40,O36&lt;=4),"High Risk","")</x:f>
      </x:c>
    </x:row>
    <x:row r="37">
      <x:c r="A37" t="s">
        <x:v>93</x:v>
      </x:c>
      <x:c r="B37" t="s">
        <x:v>19</x:v>
      </x:c>
      <x:c r="C37" t="s">
        <x:v>20</x:v>
      </x:c>
      <x:c r="D37" t="s">
        <x:v>43</x:v>
      </x:c>
      <x:c r="E37" t="s">
        <x:v>46</x:v>
      </x:c>
      <x:c r="F37">
        <x:v>7</x:v>
      </x:c>
      <x:c r="G37">
        <x:v>150.1</x:v>
      </x:c>
      <x:c r="H37" t="s">
        <x:v>47</x:v>
      </x:c>
      <x:c r="I37" t="s">
        <x:v>73</x:v>
      </x:c>
      <x:c r="J37" s="1">
        <x:v>45038</x:v>
      </x:c>
      <x:c r="K37" t="s">
        <x:v>25</x:v>
      </x:c>
      <x:c r="L37" s="1">
        <x:v>45284</x:v>
      </x:c>
      <x:c r="M37" t="s">
        <x:v>60</x:v>
      </x:c>
      <x:c r="N37">
        <x:v>10</x:v>
      </x:c>
      <x:c r="O37">
        <x:v>6</x:v>
      </x:c>
      <x:c r="P37">
        <x:v>16</x:v>
      </x:c>
      <x:c r="Q37" t="s">
        <x:v>27</x:v>
      </x:c>
      <x:c r="R37" t="n">
        <x:f>IF(subscriptions[[#This Row],[churned]]="Yes",1,0)</x:f>
        <x:v>1</x:v>
      </x:c>
      <x:c r="S37" s="11" t="n">
        <x:f>IF(K37="Yes",(L37-J37)/30.4375,"")</x:f>
        <x:v>8.082135523613964</x:v>
      </x:c>
      <x:c r="T37" t="str">
        <x:f>IF(AND(K37="No",P37&lt;40,O37&lt;=4),"High Risk","")</x:f>
      </x:c>
    </x:row>
    <x:row r="38">
      <x:c r="A38" t="s">
        <x:v>94</x:v>
      </x:c>
      <x:c r="B38" t="s">
        <x:v>19</x:v>
      </x:c>
      <x:c r="C38" t="s">
        <x:v>20</x:v>
      </x:c>
      <x:c r="D38" t="s">
        <x:v>45</x:v>
      </x:c>
      <x:c r="E38" t="s">
        <x:v>46</x:v>
      </x:c>
      <x:c r="F38">
        <x:v>2</x:v>
      </x:c>
      <x:c r="G38">
        <x:v>90.85</x:v>
      </x:c>
      <x:c r="H38" t="s">
        <x:v>30</x:v>
      </x:c>
      <x:c r="I38" t="s">
        <x:v>24</x:v>
      </x:c>
      <x:c r="J38" s="1">
        <x:v>45457</x:v>
      </x:c>
      <x:c r="K38" t="s">
        <x:v>25</x:v>
      </x:c>
      <x:c r="L38" s="1">
        <x:v>45604</x:v>
      </x:c>
      <x:c r="M38" t="s">
        <x:v>67</x:v>
      </x:c>
      <x:c r="N38">
        <x:v>11</x:v>
      </x:c>
      <x:c r="O38">
        <x:v>2</x:v>
      </x:c>
      <x:c r="P38">
        <x:v>34</x:v>
      </x:c>
      <x:c r="Q38" t="s">
        <x:v>27</x:v>
      </x:c>
      <x:c r="R38" t="n">
        <x:f>IF(subscriptions[[#This Row],[churned]]="Yes",1,0)</x:f>
        <x:v>1</x:v>
      </x:c>
      <x:c r="S38" s="11" t="n">
        <x:f>IF(K38="Yes",(L38-J38)/30.4375,"")</x:f>
        <x:v>4.829568788501026</x:v>
      </x:c>
      <x:c r="T38" t="str">
        <x:f>IF(AND(K38="No",P38&lt;40,O38&lt;=4),"High Risk","")</x:f>
      </x:c>
    </x:row>
    <x:row r="39">
      <x:c r="A39" t="s">
        <x:v>95</x:v>
      </x:c>
      <x:c r="B39" t="s">
        <x:v>19</x:v>
      </x:c>
      <x:c r="C39" t="s">
        <x:v>20</x:v>
      </x:c>
      <x:c r="D39" t="s">
        <x:v>39</x:v>
      </x:c>
      <x:c r="E39" t="s">
        <x:v>46</x:v>
      </x:c>
      <x:c r="F39">
        <x:v>5</x:v>
      </x:c>
      <x:c r="G39">
        <x:v>126.4</x:v>
      </x:c>
      <x:c r="H39" t="s">
        <x:v>23</x:v>
      </x:c>
      <x:c r="I39" t="s">
        <x:v>41</x:v>
      </x:c>
      <x:c r="J39" s="1">
        <x:v>44718</x:v>
      </x:c>
      <x:c r="K39" t="s">
        <x:v>25</x:v>
      </x:c>
      <x:c r="L39" s="1">
        <x:v>44784</x:v>
      </x:c>
      <x:c r="M39" t="s">
        <x:v>57</x:v>
      </x:c>
      <x:c r="N39">
        <x:v>6</x:v>
      </x:c>
      <x:c r="O39">
        <x:v>1</x:v>
      </x:c>
      <x:c r="P39">
        <x:v>30</x:v>
      </x:c>
      <x:c r="Q39" t="s">
        <x:v>27</x:v>
      </x:c>
      <x:c r="R39" t="n">
        <x:f>IF(subscriptions[[#This Row],[churned]]="Yes",1,0)</x:f>
        <x:v>1</x:v>
      </x:c>
      <x:c r="S39" s="11" t="n">
        <x:f>IF(K39="Yes",(L39-J39)/30.4375,"")</x:f>
        <x:v>2.1683778234086244</x:v>
      </x:c>
      <x:c r="T39" t="str">
        <x:f>IF(AND(K39="No",P39&lt;40,O39&lt;=4),"High Risk","")</x:f>
      </x:c>
    </x:row>
    <x:row r="40">
      <x:c r="A40" t="s">
        <x:v>96</x:v>
      </x:c>
      <x:c r="B40" t="s">
        <x:v>38</x:v>
      </x:c>
      <x:c r="C40" t="s">
        <x:v>29</x:v>
      </x:c>
      <x:c r="D40" t="s">
        <x:v>21</x:v>
      </x:c>
      <x:c r="E40" t="s">
        <x:v>22</x:v>
      </x:c>
      <x:c r="F40">
        <x:v>30</x:v>
      </x:c>
      <x:c r="G40">
        <x:v>904.95</x:v>
      </x:c>
      <x:c r="H40" t="s">
        <x:v>23</x:v>
      </x:c>
      <x:c r="I40" t="s">
        <x:v>59</x:v>
      </x:c>
      <x:c r="J40" s="1">
        <x:v>45414</x:v>
      </x:c>
      <x:c r="K40" t="s">
        <x:v>27</x:v>
      </x:c>
      <x:c r="M40"/>
      <x:c r="N40">
        <x:v>4</x:v>
      </x:c>
      <x:c r="O40">
        <x:v>9</x:v>
      </x:c>
      <x:c r="P40">
        <x:v>71</x:v>
      </x:c>
      <x:c r="Q40" t="s">
        <x:v>25</x:v>
      </x:c>
      <x:c r="R40" t="n">
        <x:f>IF(subscriptions[[#This Row],[churned]]="Yes",1,0)</x:f>
        <x:v>0</x:v>
      </x:c>
      <x:c r="S40" s="11" t="str">
        <x:f>IF(K40="Yes",(L40-J40)/30.4375,"")</x:f>
      </x:c>
      <x:c r="T40" t="str">
        <x:f>IF(AND(K40="No",P40&lt;40,O40&lt;=4),"High Risk","")</x:f>
      </x:c>
    </x:row>
    <x:row r="41">
      <x:c r="A41" t="s">
        <x:v>97</x:v>
      </x:c>
      <x:c r="B41" t="s">
        <x:v>38</x:v>
      </x:c>
      <x:c r="C41" t="s">
        <x:v>29</x:v>
      </x:c>
      <x:c r="D41" t="s">
        <x:v>53</x:v>
      </x:c>
      <x:c r="E41" t="s">
        <x:v>40</x:v>
      </x:c>
      <x:c r="F41">
        <x:v>24</x:v>
      </x:c>
      <x:c r="G41">
        <x:v>752.72</x:v>
      </x:c>
      <x:c r="H41" t="s">
        <x:v>30</x:v>
      </x:c>
      <x:c r="I41" t="s">
        <x:v>59</x:v>
      </x:c>
      <x:c r="J41" s="1">
        <x:v>45063</x:v>
      </x:c>
      <x:c r="K41" t="s">
        <x:v>27</x:v>
      </x:c>
      <x:c r="M41"/>
      <x:c r="N41">
        <x:v>9</x:v>
      </x:c>
      <x:c r="O41">
        <x:v>2</x:v>
      </x:c>
      <x:c r="P41">
        <x:v>76</x:v>
      </x:c>
      <x:c r="Q41" t="s">
        <x:v>27</x:v>
      </x:c>
      <x:c r="R41" t="n">
        <x:f>IF(subscriptions[[#This Row],[churned]]="Yes",1,0)</x:f>
        <x:v>0</x:v>
      </x:c>
      <x:c r="S41" s="11" t="str">
        <x:f>IF(K41="Yes",(L41-J41)/30.4375,"")</x:f>
      </x:c>
      <x:c r="T41" t="str">
        <x:f>IF(AND(K41="No",P41&lt;40,O41&lt;=4),"High Risk","")</x:f>
      </x:c>
    </x:row>
    <x:row r="42">
      <x:c r="A42" t="s">
        <x:v>98</x:v>
      </x:c>
      <x:c r="B42" t="s">
        <x:v>33</x:v>
      </x:c>
      <x:c r="C42" t="s">
        <x:v>20</x:v>
      </x:c>
      <x:c r="D42" t="s">
        <x:v>66</x:v>
      </x:c>
      <x:c r="E42" t="s">
        <x:v>22</x:v>
      </x:c>
      <x:c r="F42">
        <x:v>53</x:v>
      </x:c>
      <x:c r="G42">
        <x:v>255.2</x:v>
      </x:c>
      <x:c r="H42" t="s">
        <x:v>47</x:v>
      </x:c>
      <x:c r="I42" t="s">
        <x:v>59</x:v>
      </x:c>
      <x:c r="J42" s="1">
        <x:v>44916</x:v>
      </x:c>
      <x:c r="K42" t="s">
        <x:v>25</x:v>
      </x:c>
      <x:c r="L42" s="1">
        <x:v>45065</x:v>
      </x:c>
      <x:c r="M42" t="s">
        <x:v>50</x:v>
      </x:c>
      <x:c r="N42">
        <x:v>4</x:v>
      </x:c>
      <x:c r="O42">
        <x:v>5</x:v>
      </x:c>
      <x:c r="P42">
        <x:v>45</x:v>
      </x:c>
      <x:c r="Q42" t="s">
        <x:v>27</x:v>
      </x:c>
      <x:c r="R42" t="n">
        <x:f>IF(subscriptions[[#This Row],[churned]]="Yes",1,0)</x:f>
        <x:v>1</x:v>
      </x:c>
      <x:c r="S42" s="11" t="n">
        <x:f>IF(K42="Yes",(L42-J42)/30.4375,"")</x:f>
        <x:v>4.895277207392197</x:v>
      </x:c>
      <x:c r="T42" t="str">
        <x:f>IF(AND(K42="No",P42&lt;40,O42&lt;=4),"High Risk","")</x:f>
      </x:c>
    </x:row>
    <x:row r="43">
      <x:c r="A43" t="s">
        <x:v>99</x:v>
      </x:c>
      <x:c r="B43" t="s">
        <x:v>33</x:v>
      </x:c>
      <x:c r="C43" t="s">
        <x:v>20</x:v>
      </x:c>
      <x:c r="D43" t="s">
        <x:v>39</x:v>
      </x:c>
      <x:c r="E43" t="s">
        <x:v>22</x:v>
      </x:c>
      <x:c r="F43">
        <x:v>34</x:v>
      </x:c>
      <x:c r="G43">
        <x:v>172.55</x:v>
      </x:c>
      <x:c r="H43" t="s">
        <x:v>36</x:v>
      </x:c>
      <x:c r="I43" t="s">
        <x:v>41</x:v>
      </x:c>
      <x:c r="J43" s="1">
        <x:v>45661</x:v>
      </x:c>
      <x:c r="K43" t="s">
        <x:v>27</x:v>
      </x:c>
      <x:c r="M43"/>
      <x:c r="N43">
        <x:v>9</x:v>
      </x:c>
      <x:c r="O43">
        <x:v>2</x:v>
      </x:c>
      <x:c r="P43">
        <x:v>73</x:v>
      </x:c>
      <x:c r="Q43" t="s">
        <x:v>27</x:v>
      </x:c>
      <x:c r="R43" t="n">
        <x:f>IF(subscriptions[[#This Row],[churned]]="Yes",1,0)</x:f>
        <x:v>0</x:v>
      </x:c>
      <x:c r="S43" s="11" t="str">
        <x:f>IF(K43="Yes",(L43-J43)/30.4375,"")</x:f>
      </x:c>
      <x:c r="T43" t="str">
        <x:f>IF(AND(K43="No",P43&lt;40,O43&lt;=4),"High Risk","")</x:f>
      </x:c>
    </x:row>
    <x:row r="44">
      <x:c r="A44" t="s">
        <x:v>100</x:v>
      </x:c>
      <x:c r="B44" t="s">
        <x:v>19</x:v>
      </x:c>
      <x:c r="C44" t="s">
        <x:v>29</x:v>
      </x:c>
      <x:c r="D44" t="s">
        <x:v>43</x:v>
      </x:c>
      <x:c r="E44" t="s">
        <x:v>46</x:v>
      </x:c>
      <x:c r="F44">
        <x:v>2</x:v>
      </x:c>
      <x:c r="G44">
        <x:v>77.22</x:v>
      </x:c>
      <x:c r="H44" t="s">
        <x:v>64</x:v>
      </x:c>
      <x:c r="I44" t="s">
        <x:v>41</x:v>
      </x:c>
      <x:c r="J44" s="1">
        <x:v>44612</x:v>
      </x:c>
      <x:c r="K44" t="s">
        <x:v>27</x:v>
      </x:c>
      <x:c r="M44"/>
      <x:c r="N44">
        <x:v>9</x:v>
      </x:c>
      <x:c r="O44">
        <x:v>9</x:v>
      </x:c>
      <x:c r="P44">
        <x:v>20</x:v>
      </x:c>
      <x:c r="Q44" t="s">
        <x:v>27</x:v>
      </x:c>
      <x:c r="R44" t="n">
        <x:f>IF(subscriptions[[#This Row],[churned]]="Yes",1,0)</x:f>
        <x:v>0</x:v>
      </x:c>
      <x:c r="S44" s="11" t="str">
        <x:f>IF(K44="Yes",(L44-J44)/30.4375,"")</x:f>
      </x:c>
      <x:c r="T44" t="str">
        <x:f>IF(AND(K44="No",P44&lt;40,O44&lt;=4),"High Risk","")</x:f>
      </x:c>
    </x:row>
    <x:row r="45">
      <x:c r="A45" t="s">
        <x:v>101</x:v>
      </x:c>
      <x:c r="B45" t="s">
        <x:v>19</x:v>
      </x:c>
      <x:c r="C45" t="s">
        <x:v>29</x:v>
      </x:c>
      <x:c r="D45" t="s">
        <x:v>72</x:v>
      </x:c>
      <x:c r="E45" t="s">
        <x:v>46</x:v>
      </x:c>
      <x:c r="F45">
        <x:v>2</x:v>
      </x:c>
      <x:c r="G45">
        <x:v>77.22</x:v>
      </x:c>
      <x:c r="H45" t="s">
        <x:v>102</x:v>
      </x:c>
      <x:c r="I45" t="s">
        <x:v>24</x:v>
      </x:c>
      <x:c r="J45" s="1">
        <x:v>44678</x:v>
      </x:c>
      <x:c r="K45" t="s">
        <x:v>25</x:v>
      </x:c>
      <x:c r="L45" s="1">
        <x:v>44775</x:v>
      </x:c>
      <x:c r="M45" t="s">
        <x:v>26</x:v>
      </x:c>
      <x:c r="N45">
        <x:v>7</x:v>
      </x:c>
      <x:c r="O45">
        <x:v>6</x:v>
      </x:c>
      <x:c r="P45">
        <x:v>20</x:v>
      </x:c>
      <x:c r="Q45" t="s">
        <x:v>27</x:v>
      </x:c>
      <x:c r="R45" t="n">
        <x:f>IF(subscriptions[[#This Row],[churned]]="Yes",1,0)</x:f>
        <x:v>1</x:v>
      </x:c>
      <x:c r="S45" s="11" t="n">
        <x:f>IF(K45="Yes",(L45-J45)/30.4375,"")</x:f>
        <x:v>3.186858316221766</x:v>
      </x:c>
      <x:c r="T45" t="str">
        <x:f>IF(AND(K45="No",P45&lt;40,O45&lt;=4),"High Risk","")</x:f>
      </x:c>
    </x:row>
    <x:row r="46">
      <x:c r="A46" t="s">
        <x:v>103</x:v>
      </x:c>
      <x:c r="B46" t="s">
        <x:v>33</x:v>
      </x:c>
      <x:c r="C46" t="s">
        <x:v>20</x:v>
      </x:c>
      <x:c r="D46" t="s">
        <x:v>21</x:v>
      </x:c>
      <x:c r="E46" t="s">
        <x:v>40</x:v>
      </x:c>
      <x:c r="F46">
        <x:v>7</x:v>
      </x:c>
      <x:c r="G46">
        <x:v>55.1</x:v>
      </x:c>
      <x:c r="H46" t="s">
        <x:v>102</x:v>
      </x:c>
      <x:c r="I46" t="s">
        <x:v>73</x:v>
      </x:c>
      <x:c r="J46" s="1">
        <x:v>45910</x:v>
      </x:c>
      <x:c r="K46" t="s">
        <x:v>27</x:v>
      </x:c>
      <x:c r="M46"/>
      <x:c r="N46">
        <x:v>12</x:v>
      </x:c>
      <x:c r="O46">
        <x:v>4</x:v>
      </x:c>
      <x:c r="P46">
        <x:v>67</x:v>
      </x:c>
      <x:c r="Q46" t="s">
        <x:v>27</x:v>
      </x:c>
      <x:c r="R46" t="n">
        <x:f>IF(subscriptions[[#This Row],[churned]]="Yes",1,0)</x:f>
        <x:v>0</x:v>
      </x:c>
      <x:c r="S46" s="11" t="str">
        <x:f>IF(K46="Yes",(L46-J46)/30.4375,"")</x:f>
      </x:c>
      <x:c r="T46" t="str">
        <x:f>IF(AND(K46="No",P46&lt;40,O46&lt;=4),"High Risk","")</x:f>
      </x:c>
    </x:row>
    <x:row r="47">
      <x:c r="A47" t="s">
        <x:v>104</x:v>
      </x:c>
      <x:c r="B47" t="s">
        <x:v>19</x:v>
      </x:c>
      <x:c r="C47" t="s">
        <x:v>20</x:v>
      </x:c>
      <x:c r="D47" t="s">
        <x:v>34</x:v>
      </x:c>
      <x:c r="E47" t="s">
        <x:v>46</x:v>
      </x:c>
      <x:c r="F47">
        <x:v>4</x:v>
      </x:c>
      <x:c r="G47">
        <x:v>114.55</x:v>
      </x:c>
      <x:c r="H47" t="s">
        <x:v>64</x:v>
      </x:c>
      <x:c r="I47" t="s">
        <x:v>24</x:v>
      </x:c>
      <x:c r="J47" s="1">
        <x:v>45114</x:v>
      </x:c>
      <x:c r="K47" t="s">
        <x:v>25</x:v>
      </x:c>
      <x:c r="L47" s="1">
        <x:v>45350</x:v>
      </x:c>
      <x:c r="M47" t="s">
        <x:v>86</x:v>
      </x:c>
      <x:c r="N47">
        <x:v>1</x:v>
      </x:c>
      <x:c r="O47">
        <x:v>6</x:v>
      </x:c>
      <x:c r="P47">
        <x:v>42</x:v>
      </x:c>
      <x:c r="Q47" t="s">
        <x:v>27</x:v>
      </x:c>
      <x:c r="R47" t="n">
        <x:f>IF(subscriptions[[#This Row],[churned]]="Yes",1,0)</x:f>
        <x:v>1</x:v>
      </x:c>
      <x:c r="S47" s="11" t="n">
        <x:f>IF(K47="Yes",(L47-J47)/30.4375,"")</x:f>
        <x:v>7.753593429158111</x:v>
      </x:c>
      <x:c r="T47" t="str">
        <x:f>IF(AND(K47="No",P47&lt;40,O47&lt;=4),"High Risk","")</x:f>
      </x:c>
    </x:row>
    <x:row r="48">
      <x:c r="A48" t="s">
        <x:v>105</x:v>
      </x:c>
      <x:c r="B48" t="s">
        <x:v>38</x:v>
      </x:c>
      <x:c r="C48" t="s">
        <x:v>20</x:v>
      </x:c>
      <x:c r="D48" t="s">
        <x:v>53</x:v>
      </x:c>
      <x:c r="E48" t="s">
        <x:v>46</x:v>
      </x:c>
      <x:c r="F48">
        <x:v>5</x:v>
      </x:c>
      <x:c r="G48">
        <x:v>318.39999999999998</x:v>
      </x:c>
      <x:c r="H48" t="s">
        <x:v>36</x:v>
      </x:c>
      <x:c r="I48" t="s">
        <x:v>24</x:v>
      </x:c>
      <x:c r="J48" s="1">
        <x:v>44943</x:v>
      </x:c>
      <x:c r="K48" t="s">
        <x:v>25</x:v>
      </x:c>
      <x:c r="L48" s="1">
        <x:v>45821</x:v>
      </x:c>
      <x:c r="M48" t="s">
        <x:v>67</x:v>
      </x:c>
      <x:c r="N48">
        <x:v>15</x:v>
      </x:c>
      <x:c r="O48">
        <x:v>4</x:v>
      </x:c>
      <x:c r="P48">
        <x:v>46</x:v>
      </x:c>
      <x:c r="Q48" t="s">
        <x:v>27</x:v>
      </x:c>
      <x:c r="R48" t="n">
        <x:f>IF(subscriptions[[#This Row],[churned]]="Yes",1,0)</x:f>
        <x:v>1</x:v>
      </x:c>
      <x:c r="S48" s="11" t="n">
        <x:f>IF(K48="Yes",(L48-J48)/30.4375,"")</x:f>
        <x:v>28.84599589322382</x:v>
      </x:c>
      <x:c r="T48" t="str">
        <x:f>IF(AND(K48="No",P48&lt;40,O48&lt;=4),"High Risk","")</x:f>
      </x:c>
    </x:row>
    <x:row r="49">
      <x:c r="A49" t="s">
        <x:v>106</x:v>
      </x:c>
      <x:c r="B49" t="s">
        <x:v>38</x:v>
      </x:c>
      <x:c r="C49" t="s">
        <x:v>29</x:v>
      </x:c>
      <x:c r="D49" t="s">
        <x:v>66</x:v>
      </x:c>
      <x:c r="E49" t="s">
        <x:v>46</x:v>
      </x:c>
      <x:c r="F49">
        <x:v>4</x:v>
      </x:c>
      <x:c r="G49">
        <x:v>245.27</x:v>
      </x:c>
      <x:c r="H49" t="s">
        <x:v>47</x:v>
      </x:c>
      <x:c r="I49" t="s">
        <x:v>41</x:v>
      </x:c>
      <x:c r="J49" s="1">
        <x:v>44669</x:v>
      </x:c>
      <x:c r="K49" t="s">
        <x:v>25</x:v>
      </x:c>
      <x:c r="L49" s="1">
        <x:v>44754</x:v>
      </x:c>
      <x:c r="M49" t="s">
        <x:v>57</x:v>
      </x:c>
      <x:c r="N49">
        <x:v>4</x:v>
      </x:c>
      <x:c r="O49">
        <x:v>5</x:v>
      </x:c>
      <x:c r="P49">
        <x:v>16</x:v>
      </x:c>
      <x:c r="Q49" t="s">
        <x:v>27</x:v>
      </x:c>
      <x:c r="R49" t="n">
        <x:f>IF(subscriptions[[#This Row],[churned]]="Yes",1,0)</x:f>
        <x:v>1</x:v>
      </x:c>
      <x:c r="S49" s="11" t="n">
        <x:f>IF(K49="Yes",(L49-J49)/30.4375,"")</x:f>
        <x:v>2.7926078028747434</x:v>
      </x:c>
      <x:c r="T49" t="str">
        <x:f>IF(AND(K49="No",P49&lt;40,O49&lt;=4),"High Risk","")</x:f>
      </x:c>
    </x:row>
    <x:row r="50">
      <x:c r="A50" t="s">
        <x:v>107</x:v>
      </x:c>
      <x:c r="B50" t="s">
        <x:v>19</x:v>
      </x:c>
      <x:c r="C50" t="s">
        <x:v>20</x:v>
      </x:c>
      <x:c r="D50" t="s">
        <x:v>39</x:v>
      </x:c>
      <x:c r="E50" t="s">
        <x:v>22</x:v>
      </x:c>
      <x:c r="F50">
        <x:v>36</x:v>
      </x:c>
      <x:c r="G50">
        <x:v>493.75</x:v>
      </x:c>
      <x:c r="H50" t="s">
        <x:v>36</x:v>
      </x:c>
      <x:c r="I50" t="s">
        <x:v>59</x:v>
      </x:c>
      <x:c r="J50" s="1">
        <x:v>44699</x:v>
      </x:c>
      <x:c r="K50" t="s">
        <x:v>25</x:v>
      </x:c>
      <x:c r="L50" s="1">
        <x:v>44800</x:v>
      </x:c>
      <x:c r="M50" t="s">
        <x:v>50</x:v>
      </x:c>
      <x:c r="N50">
        <x:v>1</x:v>
      </x:c>
      <x:c r="O50">
        <x:v>6</x:v>
      </x:c>
      <x:c r="P50">
        <x:v>26</x:v>
      </x:c>
      <x:c r="Q50" t="s">
        <x:v>27</x:v>
      </x:c>
      <x:c r="R50" t="n">
        <x:f>IF(subscriptions[[#This Row],[churned]]="Yes",1,0)</x:f>
        <x:v>1</x:v>
      </x:c>
      <x:c r="S50" s="11" t="n">
        <x:f>IF(K50="Yes",(L50-J50)/30.4375,"")</x:f>
        <x:v>3.3182751540041067</x:v>
      </x:c>
      <x:c r="T50" t="str">
        <x:f>IF(AND(K50="No",P50&lt;40,O50&lt;=4),"High Risk","")</x:f>
      </x:c>
    </x:row>
    <x:row r="51">
      <x:c r="A51" t="s">
        <x:v>108</x:v>
      </x:c>
      <x:c r="B51" t="s">
        <x:v>33</x:v>
      </x:c>
      <x:c r="C51" t="s">
        <x:v>29</x:v>
      </x:c>
      <x:c r="D51" t="s">
        <x:v>56</x:v>
      </x:c>
      <x:c r="E51" t="s">
        <x:v>46</x:v>
      </x:c>
      <x:c r="F51">
        <x:v>7</x:v>
      </x:c>
      <x:c r="G51">
        <x:v>46.83</x:v>
      </x:c>
      <x:c r="H51" t="s">
        <x:v>23</x:v>
      </x:c>
      <x:c r="I51" t="s">
        <x:v>24</x:v>
      </x:c>
      <x:c r="J51" s="1">
        <x:v>44734</x:v>
      </x:c>
      <x:c r="K51" t="s">
        <x:v>25</x:v>
      </x:c>
      <x:c r="L51" s="1">
        <x:v>45473</x:v>
      </x:c>
      <x:c r="M51" t="s">
        <x:v>26</x:v>
      </x:c>
      <x:c r="N51">
        <x:v>2</x:v>
      </x:c>
      <x:c r="O51">
        <x:v>3</x:v>
      </x:c>
      <x:c r="P51">
        <x:v>38</x:v>
      </x:c>
      <x:c r="Q51" t="s">
        <x:v>27</x:v>
      </x:c>
      <x:c r="R51" t="n">
        <x:f>IF(subscriptions[[#This Row],[churned]]="Yes",1,0)</x:f>
        <x:v>1</x:v>
      </x:c>
      <x:c r="S51" s="11" t="n">
        <x:f>IF(K51="Yes",(L51-J51)/30.4375,"")</x:f>
        <x:v>24.279260780287473</x:v>
      </x:c>
      <x:c r="T51" t="str">
        <x:f>IF(AND(K51="No",P51&lt;40,O51&lt;=4),"High Risk","")</x:f>
      </x:c>
    </x:row>
    <x:row r="52">
      <x:c r="A52" t="s">
        <x:v>109</x:v>
      </x:c>
      <x:c r="B52" t="s">
        <x:v>19</x:v>
      </x:c>
      <x:c r="C52" t="s">
        <x:v>20</x:v>
      </x:c>
      <x:c r="D52" t="s">
        <x:v>83</x:v>
      </x:c>
      <x:c r="E52" t="s">
        <x:v>22</x:v>
      </x:c>
      <x:c r="F52">
        <x:v>58</x:v>
      </x:c>
      <x:c r="G52">
        <x:v>754.45</x:v>
      </x:c>
      <x:c r="H52" t="s">
        <x:v>36</x:v>
      </x:c>
      <x:c r="I52" t="s">
        <x:v>41</x:v>
      </x:c>
      <x:c r="J52" s="1">
        <x:v>44922</x:v>
      </x:c>
      <x:c r="K52" t="s">
        <x:v>25</x:v>
      </x:c>
      <x:c r="L52" s="1">
        <x:v>45030</x:v>
      </x:c>
      <x:c r="M52" t="s">
        <x:v>26</x:v>
      </x:c>
      <x:c r="N52">
        <x:v>10</x:v>
      </x:c>
      <x:c r="O52">
        <x:v>3</x:v>
      </x:c>
      <x:c r="P52">
        <x:v>29</x:v>
      </x:c>
      <x:c r="Q52" t="s">
        <x:v>27</x:v>
      </x:c>
      <x:c r="R52" t="n">
        <x:f>IF(subscriptions[[#This Row],[churned]]="Yes",1,0)</x:f>
        <x:v>1</x:v>
      </x:c>
      <x:c r="S52" s="11" t="n">
        <x:f>IF(K52="Yes",(L52-J52)/30.4375,"")</x:f>
        <x:v>3.5482546201232035</x:v>
      </x:c>
      <x:c r="T52" t="str">
        <x:f>IF(AND(K52="No",P52&lt;40,O52&lt;=4),"High Risk","")</x:f>
      </x:c>
    </x:row>
    <x:row r="53">
      <x:c r="A53" t="s">
        <x:v>110</x:v>
      </x:c>
      <x:c r="B53" t="s">
        <x:v>33</x:v>
      </x:c>
      <x:c r="C53" t="s">
        <x:v>20</x:v>
      </x:c>
      <x:c r="D53" t="s">
        <x:v>56</x:v>
      </x:c>
      <x:c r="E53" t="s">
        <x:v>49</x:v>
      </x:c>
      <x:c r="F53">
        <x:v>138</x:v>
      </x:c>
      <x:c r="G53">
        <x:v>624.95000000000005</x:v>
      </x:c>
      <x:c r="H53" t="s">
        <x:v>47</x:v>
      </x:c>
      <x:c r="I53" t="s">
        <x:v>24</x:v>
      </x:c>
      <x:c r="J53" s="1">
        <x:v>45732</x:v>
      </x:c>
      <x:c r="K53" t="s">
        <x:v>25</x:v>
      </x:c>
      <x:c r="L53" s="1">
        <x:v>45853</x:v>
      </x:c>
      <x:c r="M53" t="s">
        <x:v>57</x:v>
      </x:c>
      <x:c r="N53">
        <x:v>0</x:v>
      </x:c>
      <x:c r="O53">
        <x:v>1</x:v>
      </x:c>
      <x:c r="P53">
        <x:v>38</x:v>
      </x:c>
      <x:c r="Q53" t="s">
        <x:v>27</x:v>
      </x:c>
      <x:c r="R53" t="n">
        <x:f>IF(subscriptions[[#This Row],[churned]]="Yes",1,0)</x:f>
        <x:v>1</x:v>
      </x:c>
      <x:c r="S53" s="11" t="n">
        <x:f>IF(K53="Yes",(L53-J53)/30.4375,"")</x:f>
        <x:v>3.975359342915811</x:v>
      </x:c>
      <x:c r="T53" t="str">
        <x:f>IF(AND(K53="No",P53&lt;40,O53&lt;=4),"High Risk","")</x:f>
      </x:c>
    </x:row>
    <x:row r="54">
      <x:c r="A54" t="s">
        <x:v>111</x:v>
      </x:c>
      <x:c r="B54" t="s">
        <x:v>33</x:v>
      </x:c>
      <x:c r="C54" t="s">
        <x:v>20</x:v>
      </x:c>
      <x:c r="D54" t="s">
        <x:v>43</x:v>
      </x:c>
      <x:c r="E54" t="s">
        <x:v>46</x:v>
      </x:c>
      <x:c r="F54">
        <x:v>4</x:v>
      </x:c>
      <x:c r="G54">
        <x:v>42.05</x:v>
      </x:c>
      <x:c r="H54" t="s">
        <x:v>23</x:v>
      </x:c>
      <x:c r="I54" t="s">
        <x:v>24</x:v>
      </x:c>
      <x:c r="J54" s="1">
        <x:v>45750</x:v>
      </x:c>
      <x:c r="K54" t="s">
        <x:v>25</x:v>
      </x:c>
      <x:c r="L54" s="1">
        <x:v>45842</x:v>
      </x:c>
      <x:c r="M54" t="s">
        <x:v>26</x:v>
      </x:c>
      <x:c r="N54">
        <x:v>1</x:v>
      </x:c>
      <x:c r="O54">
        <x:v>2</x:v>
      </x:c>
      <x:c r="P54">
        <x:v>43</x:v>
      </x:c>
      <x:c r="Q54" t="s">
        <x:v>27</x:v>
      </x:c>
      <x:c r="R54" t="n">
        <x:f>IF(subscriptions[[#This Row],[churned]]="Yes",1,0)</x:f>
        <x:v>1</x:v>
      </x:c>
      <x:c r="S54" s="11" t="n">
        <x:f>IF(K54="Yes",(L54-J54)/30.4375,"")</x:f>
        <x:v>3.02258726899384</x:v>
      </x:c>
      <x:c r="T54" t="str">
        <x:f>IF(AND(K54="No",P54&lt;40,O54&lt;=4),"High Risk","")</x:f>
      </x:c>
    </x:row>
    <x:row r="55">
      <x:c r="A55" t="s">
        <x:v>112</x:v>
      </x:c>
      <x:c r="B55" t="s">
        <x:v>19</x:v>
      </x:c>
      <x:c r="C55" t="s">
        <x:v>29</x:v>
      </x:c>
      <x:c r="D55" t="s">
        <x:v>56</x:v>
      </x:c>
      <x:c r="E55" t="s">
        <x:v>49</x:v>
      </x:c>
      <x:c r="F55">
        <x:v>82</x:v>
      </x:c>
      <x:c r="G55">
        <x:v>883.02</x:v>
      </x:c>
      <x:c r="H55" t="s">
        <x:v>102</x:v>
      </x:c>
      <x:c r="I55" t="s">
        <x:v>24</x:v>
      </x:c>
      <x:c r="J55" s="1">
        <x:v>45466</x:v>
      </x:c>
      <x:c r="K55" t="s">
        <x:v>27</x:v>
      </x:c>
      <x:c r="M55"/>
      <x:c r="N55">
        <x:v>4</x:v>
      </x:c>
      <x:c r="O55">
        <x:v>8</x:v>
      </x:c>
      <x:c r="P55">
        <x:v>81</x:v>
      </x:c>
      <x:c r="Q55" t="s">
        <x:v>27</x:v>
      </x:c>
      <x:c r="R55" t="n">
        <x:f>IF(subscriptions[[#This Row],[churned]]="Yes",1,0)</x:f>
        <x:v>0</x:v>
      </x:c>
      <x:c r="S55" s="11" t="str">
        <x:f>IF(K55="Yes",(L55-J55)/30.4375,"")</x:f>
      </x:c>
      <x:c r="T55" t="str">
        <x:f>IF(AND(K55="No",P55&lt;40,O55&lt;=4),"High Risk","")</x:f>
      </x:c>
    </x:row>
    <x:row r="56">
      <x:c r="A56" t="s">
        <x:v>113</x:v>
      </x:c>
      <x:c r="B56" t="s">
        <x:v>38</x:v>
      </x:c>
      <x:c r="C56" t="s">
        <x:v>20</x:v>
      </x:c>
      <x:c r="D56" t="s">
        <x:v>43</x:v>
      </x:c>
      <x:c r="E56" t="s">
        <x:v>46</x:v>
      </x:c>
      <x:c r="F56">
        <x:v>7</x:v>
      </x:c>
      <x:c r="G56">
        <x:v>378.1</x:v>
      </x:c>
      <x:c r="H56" t="s">
        <x:v>23</x:v>
      </x:c>
      <x:c r="I56" t="s">
        <x:v>24</x:v>
      </x:c>
      <x:c r="J56" s="1">
        <x:v>44664</x:v>
      </x:c>
      <x:c r="K56" t="s">
        <x:v>25</x:v>
      </x:c>
      <x:c r="L56" s="1">
        <x:v>45551</x:v>
      </x:c>
      <x:c r="M56" t="s">
        <x:v>86</x:v>
      </x:c>
      <x:c r="N56">
        <x:v>6</x:v>
      </x:c>
      <x:c r="O56">
        <x:v>2</x:v>
      </x:c>
      <x:c r="P56">
        <x:v>21</x:v>
      </x:c>
      <x:c r="Q56" t="s">
        <x:v>27</x:v>
      </x:c>
      <x:c r="R56" t="n">
        <x:f>IF(subscriptions[[#This Row],[churned]]="Yes",1,0)</x:f>
        <x:v>1</x:v>
      </x:c>
      <x:c r="S56" s="11" t="n">
        <x:f>IF(K56="Yes",(L56-J56)/30.4375,"")</x:f>
        <x:v>29.141683778234086</x:v>
      </x:c>
      <x:c r="T56" t="str">
        <x:f>IF(AND(K56="No",P56&lt;40,O56&lt;=4),"High Risk","")</x:f>
      </x:c>
    </x:row>
    <x:row r="57">
      <x:c r="A57" t="s">
        <x:v>114</x:v>
      </x:c>
      <x:c r="B57" t="s">
        <x:v>38</x:v>
      </x:c>
      <x:c r="C57" t="s">
        <x:v>20</x:v>
      </x:c>
      <x:c r="D57" t="s">
        <x:v>45</x:v>
      </x:c>
      <x:c r="E57" t="s">
        <x:v>40</x:v>
      </x:c>
      <x:c r="F57">
        <x:v>14</x:v>
      </x:c>
      <x:c r="G57">
        <x:v>587.04999999999995</x:v>
      </x:c>
      <x:c r="H57" t="s">
        <x:v>64</x:v>
      </x:c>
      <x:c r="I57" t="s">
        <x:v>24</x:v>
      </x:c>
      <x:c r="J57" s="1">
        <x:v>45649</x:v>
      </x:c>
      <x:c r="K57" t="s">
        <x:v>25</x:v>
      </x:c>
      <x:c r="L57" s="1">
        <x:v>45976</x:v>
      </x:c>
      <x:c r="M57" t="s">
        <x:v>86</x:v>
      </x:c>
      <x:c r="N57">
        <x:v>3</x:v>
      </x:c>
      <x:c r="O57">
        <x:v>2</x:v>
      </x:c>
      <x:c r="P57">
        <x:v>37</x:v>
      </x:c>
      <x:c r="Q57" t="s">
        <x:v>27</x:v>
      </x:c>
      <x:c r="R57" t="n">
        <x:f>IF(subscriptions[[#This Row],[churned]]="Yes",1,0)</x:f>
        <x:v>1</x:v>
      </x:c>
      <x:c r="S57" s="11" t="n">
        <x:f>IF(K57="Yes",(L57-J57)/30.4375,"")</x:f>
        <x:v>10.743326488706366</x:v>
      </x:c>
      <x:c r="T57" t="str">
        <x:f>IF(AND(K57="No",P57&lt;40,O57&lt;=4),"High Risk","")</x:f>
      </x:c>
    </x:row>
    <x:row r="58">
      <x:c r="A58" t="s">
        <x:v>115</x:v>
      </x:c>
      <x:c r="B58" t="s">
        <x:v>19</x:v>
      </x:c>
      <x:c r="C58" t="s">
        <x:v>29</x:v>
      </x:c>
      <x:c r="D58" t="s">
        <x:v>56</x:v>
      </x:c>
      <x:c r="E58" t="s">
        <x:v>40</x:v>
      </x:c>
      <x:c r="F58">
        <x:v>34</x:v>
      </x:c>
      <x:c r="G58">
        <x:v>399.54</x:v>
      </x:c>
      <x:c r="H58" t="s">
        <x:v>47</x:v>
      </x:c>
      <x:c r="I58" t="s">
        <x:v>24</x:v>
      </x:c>
      <x:c r="J58" s="1">
        <x:v>45485</x:v>
      </x:c>
      <x:c r="K58" t="s">
        <x:v>25</x:v>
      </x:c>
      <x:c r="L58" s="1">
        <x:v>45874</x:v>
      </x:c>
      <x:c r="M58" t="s">
        <x:v>67</x:v>
      </x:c>
      <x:c r="N58">
        <x:v>1</x:v>
      </x:c>
      <x:c r="O58">
        <x:v>1</x:v>
      </x:c>
      <x:c r="P58">
        <x:v>10</x:v>
      </x:c>
      <x:c r="Q58" t="s">
        <x:v>27</x:v>
      </x:c>
      <x:c r="R58" t="n">
        <x:f>IF(subscriptions[[#This Row],[churned]]="Yes",1,0)</x:f>
        <x:v>1</x:v>
      </x:c>
      <x:c r="S58" s="11" t="n">
        <x:f>IF(K58="Yes",(L58-J58)/30.4375,"")</x:f>
        <x:v>12.780287474332649</x:v>
      </x:c>
      <x:c r="T58" t="str">
        <x:f>IF(AND(K58="No",P58&lt;40,O58&lt;=4),"High Risk","")</x:f>
      </x:c>
    </x:row>
    <x:row r="59">
      <x:c r="A59" t="s">
        <x:v>116</x:v>
      </x:c>
      <x:c r="B59" t="s">
        <x:v>33</x:v>
      </x:c>
      <x:c r="C59" t="s">
        <x:v>20</x:v>
      </x:c>
      <x:c r="D59" t="s">
        <x:v>39</x:v>
      </x:c>
      <x:c r="E59" t="s">
        <x:v>49</x:v>
      </x:c>
      <x:c r="F59">
        <x:v>48</x:v>
      </x:c>
      <x:c r="G59">
        <x:v>233.45</x:v>
      </x:c>
      <x:c r="H59" t="s">
        <x:v>47</x:v>
      </x:c>
      <x:c r="I59" t="s">
        <x:v>41</x:v>
      </x:c>
      <x:c r="J59" s="1">
        <x:v>44814</x:v>
      </x:c>
      <x:c r="K59" t="s">
        <x:v>25</x:v>
      </x:c>
      <x:c r="L59" s="1">
        <x:v>45002</x:v>
      </x:c>
      <x:c r="M59" t="s">
        <x:v>26</x:v>
      </x:c>
      <x:c r="N59">
        <x:v>2</x:v>
      </x:c>
      <x:c r="O59">
        <x:v>1</x:v>
      </x:c>
      <x:c r="P59">
        <x:v>12</x:v>
      </x:c>
      <x:c r="Q59" t="s">
        <x:v>27</x:v>
      </x:c>
      <x:c r="R59" t="n">
        <x:f>IF(subscriptions[[#This Row],[churned]]="Yes",1,0)</x:f>
        <x:v>1</x:v>
      </x:c>
      <x:c r="S59" s="11" t="n">
        <x:f>IF(K59="Yes",(L59-J59)/30.4375,"")</x:f>
        <x:v>6.176591375770021</x:v>
      </x:c>
      <x:c r="T59" t="str">
        <x:f>IF(AND(K59="No",P59&lt;40,O59&lt;=4),"High Risk","")</x:f>
      </x:c>
    </x:row>
    <x:row r="60">
      <x:c r="A60" t="s">
        <x:v>117</x:v>
      </x:c>
      <x:c r="B60" t="s">
        <x:v>19</x:v>
      </x:c>
      <x:c r="C60" t="s">
        <x:v>29</x:v>
      </x:c>
      <x:c r="D60" t="s">
        <x:v>56</x:v>
      </x:c>
      <x:c r="E60" t="s">
        <x:v>40</x:v>
      </x:c>
      <x:c r="F60">
        <x:v>28</x:v>
      </x:c>
      <x:c r="G60">
        <x:v>339.11</x:v>
      </x:c>
      <x:c r="H60" t="s">
        <x:v>102</x:v>
      </x:c>
      <x:c r="I60" t="s">
        <x:v>24</x:v>
      </x:c>
      <x:c r="J60" s="1">
        <x:v>45290</x:v>
      </x:c>
      <x:c r="K60" t="s">
        <x:v>25</x:v>
      </x:c>
      <x:c r="L60" s="1">
        <x:v>45575</x:v>
      </x:c>
      <x:c r="M60" t="s">
        <x:v>86</x:v>
      </x:c>
      <x:c r="N60">
        <x:v>5</x:v>
      </x:c>
      <x:c r="O60">
        <x:v>1</x:v>
      </x:c>
      <x:c r="P60">
        <x:v>13</x:v>
      </x:c>
      <x:c r="Q60" t="s">
        <x:v>27</x:v>
      </x:c>
      <x:c r="R60" t="n">
        <x:f>IF(subscriptions[[#This Row],[churned]]="Yes",1,0)</x:f>
        <x:v>1</x:v>
      </x:c>
      <x:c r="S60" s="11" t="n">
        <x:f>IF(K60="Yes",(L60-J60)/30.4375,"")</x:f>
        <x:v>9.363449691991786</x:v>
      </x:c>
      <x:c r="T60" t="str">
        <x:f>IF(AND(K60="No",P60&lt;40,O60&lt;=4),"High Risk","")</x:f>
      </x:c>
    </x:row>
    <x:row r="61">
      <x:c r="A61" t="s">
        <x:v>118</x:v>
      </x:c>
      <x:c r="B61" t="s">
        <x:v>19</x:v>
      </x:c>
      <x:c r="C61" t="s">
        <x:v>20</x:v>
      </x:c>
      <x:c r="D61" t="s">
        <x:v>34</x:v>
      </x:c>
      <x:c r="E61" t="s">
        <x:v>22</x:v>
      </x:c>
      <x:c r="F61">
        <x:v>59</x:v>
      </x:c>
      <x:c r="G61">
        <x:v>766.3</x:v>
      </x:c>
      <x:c r="H61" t="s">
        <x:v>36</x:v>
      </x:c>
      <x:c r="I61" t="s">
        <x:v>59</x:v>
      </x:c>
      <x:c r="J61" s="1">
        <x:v>45503</x:v>
      </x:c>
      <x:c r="K61" t="s">
        <x:v>25</x:v>
      </x:c>
      <x:c r="L61" s="1">
        <x:v>45542</x:v>
      </x:c>
      <x:c r="M61" t="s">
        <x:v>54</x:v>
      </x:c>
      <x:c r="N61">
        <x:v>12</x:v>
      </x:c>
      <x:c r="O61">
        <x:v>1</x:v>
      </x:c>
      <x:c r="P61">
        <x:v>45</x:v>
      </x:c>
      <x:c r="Q61" t="s">
        <x:v>27</x:v>
      </x:c>
      <x:c r="R61" t="n">
        <x:f>IF(subscriptions[[#This Row],[churned]]="Yes",1,0)</x:f>
        <x:v>1</x:v>
      </x:c>
      <x:c r="S61" s="11" t="n">
        <x:f>IF(K61="Yes",(L61-J61)/30.4375,"")</x:f>
        <x:v>1.2813141683778233</x:v>
      </x:c>
      <x:c r="T61" t="str">
        <x:f>IF(AND(K61="No",P61&lt;40,O61&lt;=4),"High Risk","")</x:f>
      </x:c>
    </x:row>
    <x:row r="62">
      <x:c r="A62" t="s">
        <x:v>119</x:v>
      </x:c>
      <x:c r="B62" t="s">
        <x:v>38</x:v>
      </x:c>
      <x:c r="C62" t="s">
        <x:v>20</x:v>
      </x:c>
      <x:c r="D62" t="s">
        <x:v>72</x:v>
      </x:c>
      <x:c r="E62" t="s">
        <x:v>22</x:v>
      </x:c>
      <x:c r="F62">
        <x:v>53</x:v>
      </x:c>
      <x:c r="G62">
        <x:v>1751.2</x:v>
      </x:c>
      <x:c r="H62" t="s">
        <x:v>47</x:v>
      </x:c>
      <x:c r="I62" t="s">
        <x:v>41</x:v>
      </x:c>
      <x:c r="J62" s="1">
        <x:v>44645</x:v>
      </x:c>
      <x:c r="K62" t="s">
        <x:v>25</x:v>
      </x:c>
      <x:c r="L62" s="1">
        <x:v>45022</x:v>
      </x:c>
      <x:c r="M62" t="s">
        <x:v>54</x:v>
      </x:c>
      <x:c r="N62">
        <x:v>13</x:v>
      </x:c>
      <x:c r="O62">
        <x:v>5</x:v>
      </x:c>
      <x:c r="P62">
        <x:v>11</x:v>
      </x:c>
      <x:c r="Q62" t="s">
        <x:v>27</x:v>
      </x:c>
      <x:c r="R62" t="n">
        <x:f>IF(subscriptions[[#This Row],[churned]]="Yes",1,0)</x:f>
        <x:v>1</x:v>
      </x:c>
      <x:c r="S62" s="11" t="n">
        <x:f>IF(K62="Yes",(L62-J62)/30.4375,"")</x:f>
        <x:v>12.386036960985626</x:v>
      </x:c>
      <x:c r="T62" t="str">
        <x:f>IF(AND(K62="No",P62&lt;40,O62&lt;=4),"High Risk","")</x:f>
      </x:c>
    </x:row>
    <x:row r="63">
      <x:c r="A63" t="s">
        <x:v>120</x:v>
      </x:c>
      <x:c r="B63" t="s">
        <x:v>19</x:v>
      </x:c>
      <x:c r="C63" t="s">
        <x:v>20</x:v>
      </x:c>
      <x:c r="D63" t="s">
        <x:v>34</x:v>
      </x:c>
      <x:c r="E63" t="s">
        <x:v>40</x:v>
      </x:c>
      <x:c r="F63">
        <x:v>21</x:v>
      </x:c>
      <x:c r="G63">
        <x:v>316</x:v>
      </x:c>
      <x:c r="H63" t="s">
        <x:v>64</x:v>
      </x:c>
      <x:c r="I63" t="s">
        <x:v>24</x:v>
      </x:c>
      <x:c r="J63" s="1">
        <x:v>44835</x:v>
      </x:c>
      <x:c r="K63" t="s">
        <x:v>25</x:v>
      </x:c>
      <x:c r="L63" s="1">
        <x:v>45395</x:v>
      </x:c>
      <x:c r="M63" t="s">
        <x:v>54</x:v>
      </x:c>
      <x:c r="N63">
        <x:v>1</x:v>
      </x:c>
      <x:c r="O63">
        <x:v>3</x:v>
      </x:c>
      <x:c r="P63">
        <x:v>16</x:v>
      </x:c>
      <x:c r="Q63" t="s">
        <x:v>27</x:v>
      </x:c>
      <x:c r="R63" t="n">
        <x:f>IF(subscriptions[[#This Row],[churned]]="Yes",1,0)</x:f>
        <x:v>1</x:v>
      </x:c>
      <x:c r="S63" s="11" t="n">
        <x:f>IF(K63="Yes",(L63-J63)/30.4375,"")</x:f>
        <x:v>18.39835728952772</x:v>
      </x:c>
      <x:c r="T63" t="str">
        <x:f>IF(AND(K63="No",P63&lt;40,O63&lt;=4),"High Risk","")</x:f>
      </x:c>
    </x:row>
    <x:row r="64">
      <x:c r="A64" t="s">
        <x:v>121</x:v>
      </x:c>
      <x:c r="B64" t="s">
        <x:v>75</x:v>
      </x:c>
      <x:c r="C64" t="s">
        <x:v>29</x:v>
      </x:c>
      <x:c r="D64" t="s">
        <x:v>21</x:v>
      </x:c>
      <x:c r="E64" t="s">
        <x:v>40</x:v>
      </x:c>
      <x:c r="F64">
        <x:v>18</x:v>
      </x:c>
      <x:c r="G64">
        <x:v>1505.73</x:v>
      </x:c>
      <x:c r="H64" t="s">
        <x:v>23</x:v>
      </x:c>
      <x:c r="I64" t="s">
        <x:v>24</x:v>
      </x:c>
      <x:c r="J64" s="1">
        <x:v>45890</x:v>
      </x:c>
      <x:c r="K64" t="s">
        <x:v>27</x:v>
      </x:c>
      <x:c r="M64"/>
      <x:c r="N64">
        <x:v>3</x:v>
      </x:c>
      <x:c r="O64">
        <x:v>7</x:v>
      </x:c>
      <x:c r="P64">
        <x:v>61</x:v>
      </x:c>
      <x:c r="Q64" t="s">
        <x:v>27</x:v>
      </x:c>
      <x:c r="R64" t="n">
        <x:f>IF(subscriptions[[#This Row],[churned]]="Yes",1,0)</x:f>
        <x:v>0</x:v>
      </x:c>
      <x:c r="S64" s="11" t="str">
        <x:f>IF(K64="Yes",(L64-J64)/30.4375,"")</x:f>
      </x:c>
      <x:c r="T64" t="str">
        <x:f>IF(AND(K64="No",P64&lt;40,O64&lt;=4),"High Risk","")</x:f>
      </x:c>
    </x:row>
    <x:row r="65">
      <x:c r="A65" t="s">
        <x:v>122</x:v>
      </x:c>
      <x:c r="B65" t="s">
        <x:v>19</x:v>
      </x:c>
      <x:c r="C65" t="s">
        <x:v>29</x:v>
      </x:c>
      <x:c r="D65" t="s">
        <x:v>21</x:v>
      </x:c>
      <x:c r="E65" t="s">
        <x:v>22</x:v>
      </x:c>
      <x:c r="F65">
        <x:v>51</x:v>
      </x:c>
      <x:c r="G65">
        <x:v>570.77</x:v>
      </x:c>
      <x:c r="H65" t="s">
        <x:v>30</x:v>
      </x:c>
      <x:c r="I65" t="s">
        <x:v>59</x:v>
      </x:c>
      <x:c r="J65" s="1">
        <x:v>44836</x:v>
      </x:c>
      <x:c r="K65" t="s">
        <x:v>27</x:v>
      </x:c>
      <x:c r="M65"/>
      <x:c r="N65">
        <x:v>1</x:v>
      </x:c>
      <x:c r="O65">
        <x:v>10</x:v>
      </x:c>
      <x:c r="P65">
        <x:v>33</x:v>
      </x:c>
      <x:c r="Q65" t="s">
        <x:v>27</x:v>
      </x:c>
      <x:c r="R65" t="n">
        <x:f>IF(subscriptions[[#This Row],[churned]]="Yes",1,0)</x:f>
        <x:v>0</x:v>
      </x:c>
      <x:c r="S65" s="11" t="str">
        <x:f>IF(K65="Yes",(L65-J65)/30.4375,"")</x:f>
      </x:c>
      <x:c r="T65" t="str">
        <x:f>IF(AND(K65="No",P65&lt;40,O65&lt;=4),"High Risk","")</x:f>
      </x:c>
    </x:row>
    <x:row r="66">
      <x:c r="A66" t="s">
        <x:v>123</x:v>
      </x:c>
      <x:c r="B66" t="s">
        <x:v>33</x:v>
      </x:c>
      <x:c r="C66" t="s">
        <x:v>20</x:v>
      </x:c>
      <x:c r="D66" t="s">
        <x:v>43</x:v>
      </x:c>
      <x:c r="E66" t="s">
        <x:v>49</x:v>
      </x:c>
      <x:c r="F66">
        <x:v>60</x:v>
      </x:c>
      <x:c r="G66">
        <x:v>285.64999999999998</x:v>
      </x:c>
      <x:c r="H66" t="s">
        <x:v>30</x:v>
      </x:c>
      <x:c r="I66" t="s">
        <x:v>24</x:v>
      </x:c>
      <x:c r="J66" s="1">
        <x:v>44877</x:v>
      </x:c>
      <x:c r="K66" t="s">
        <x:v>25</x:v>
      </x:c>
      <x:c r="L66" s="1">
        <x:v>44885</x:v>
      </x:c>
      <x:c r="M66" t="s">
        <x:v>50</x:v>
      </x:c>
      <x:c r="N66">
        <x:v>13</x:v>
      </x:c>
      <x:c r="O66">
        <x:v>3</x:v>
      </x:c>
      <x:c r="P66">
        <x:v>46</x:v>
      </x:c>
      <x:c r="Q66" t="s">
        <x:v>27</x:v>
      </x:c>
      <x:c r="R66" t="n">
        <x:f>IF(subscriptions[[#This Row],[churned]]="Yes",1,0)</x:f>
        <x:v>1</x:v>
      </x:c>
      <x:c r="S66" s="11" t="n">
        <x:f>IF(K66="Yes",(L66-J66)/30.4375,"")</x:f>
        <x:v>0.26283367556468173</x:v>
      </x:c>
      <x:c r="T66" t="str">
        <x:f>IF(AND(K66="No",P66&lt;40,O66&lt;=4),"High Risk","")</x:f>
      </x:c>
    </x:row>
    <x:row r="67">
      <x:c r="A67" t="s">
        <x:v>124</x:v>
      </x:c>
      <x:c r="B67" t="s">
        <x:v>33</x:v>
      </x:c>
      <x:c r="C67" t="s">
        <x:v>29</x:v>
      </x:c>
      <x:c r="D67" t="s">
        <x:v>66</x:v>
      </x:c>
      <x:c r="E67" t="s">
        <x:v>22</x:v>
      </x:c>
      <x:c r="F67">
        <x:v>55</x:v>
      </x:c>
      <x:c r="G67">
        <x:v>224.31</x:v>
      </x:c>
      <x:c r="H67" t="s">
        <x:v>23</x:v>
      </x:c>
      <x:c r="I67" t="s">
        <x:v>24</x:v>
      </x:c>
      <x:c r="J67" s="1">
        <x:v>45471</x:v>
      </x:c>
      <x:c r="K67" t="s">
        <x:v>25</x:v>
      </x:c>
      <x:c r="L67" s="1">
        <x:v>45494</x:v>
      </x:c>
      <x:c r="M67" t="s">
        <x:v>50</x:v>
      </x:c>
      <x:c r="N67">
        <x:v>12</x:v>
      </x:c>
      <x:c r="O67">
        <x:v>1</x:v>
      </x:c>
      <x:c r="P67">
        <x:v>12</x:v>
      </x:c>
      <x:c r="Q67" t="s">
        <x:v>27</x:v>
      </x:c>
      <x:c r="R67" t="n">
        <x:f>IF(subscriptions[[#This Row],[churned]]="Yes",1,0)</x:f>
        <x:v>1</x:v>
      </x:c>
      <x:c r="S67" s="11" t="n">
        <x:f>IF(K67="Yes",(L67-J67)/30.4375,"")</x:f>
        <x:v>0.75564681724846</x:v>
      </x:c>
      <x:c r="T67" t="str">
        <x:f>IF(AND(K67="No",P67&lt;40,O67&lt;=4),"High Risk","")</x:f>
      </x:c>
    </x:row>
    <x:row r="68">
      <x:c r="A68" t="s">
        <x:v>125</x:v>
      </x:c>
      <x:c r="B68" t="s">
        <x:v>38</x:v>
      </x:c>
      <x:c r="C68" t="s">
        <x:v>29</x:v>
      </x:c>
      <x:c r="D68" t="s">
        <x:v>53</x:v>
      </x:c>
      <x:c r="E68" t="s">
        <x:v>46</x:v>
      </x:c>
      <x:c r="F68">
        <x:v>7</x:v>
      </x:c>
      <x:c r="G68">
        <x:v>321.38</x:v>
      </x:c>
      <x:c r="H68" t="s">
        <x:v>64</x:v>
      </x:c>
      <x:c r="I68" t="s">
        <x:v>24</x:v>
      </x:c>
      <x:c r="J68" s="1">
        <x:v>45197</x:v>
      </x:c>
      <x:c r="K68" t="s">
        <x:v>27</x:v>
      </x:c>
      <x:c r="M68"/>
      <x:c r="N68">
        <x:v>4</x:v>
      </x:c>
      <x:c r="O68">
        <x:v>8</x:v>
      </x:c>
      <x:c r="P68">
        <x:v>30</x:v>
      </x:c>
      <x:c r="Q68" t="s">
        <x:v>27</x:v>
      </x:c>
      <x:c r="R68" t="n">
        <x:f>IF(subscriptions[[#This Row],[churned]]="Yes",1,0)</x:f>
        <x:v>0</x:v>
      </x:c>
      <x:c r="S68" s="11" t="str">
        <x:f>IF(K68="Yes",(L68-J68)/30.4375,"")</x:f>
      </x:c>
      <x:c r="T68" t="str">
        <x:f>IF(AND(K68="No",P68&lt;40,O68&lt;=4),"High Risk","")</x:f>
      </x:c>
    </x:row>
    <x:row r="69">
      <x:c r="A69" t="s">
        <x:v>126</x:v>
      </x:c>
      <x:c r="B69" t="s">
        <x:v>19</x:v>
      </x:c>
      <x:c r="C69" t="s">
        <x:v>29</x:v>
      </x:c>
      <x:c r="D69" t="s">
        <x:v>66</x:v>
      </x:c>
      <x:c r="E69" t="s">
        <x:v>46</x:v>
      </x:c>
      <x:c r="F69">
        <x:v>1</x:v>
      </x:c>
      <x:c r="G69">
        <x:v>67.150000000000006</x:v>
      </x:c>
      <x:c r="H69" t="s">
        <x:v>47</x:v>
      </x:c>
      <x:c r="I69" t="s">
        <x:v>59</x:v>
      </x:c>
      <x:c r="J69" s="1">
        <x:v>45993</x:v>
      </x:c>
      <x:c r="K69" t="s">
        <x:v>27</x:v>
      </x:c>
      <x:c r="M69"/>
      <x:c r="N69">
        <x:v>7</x:v>
      </x:c>
      <x:c r="O69">
        <x:v>3</x:v>
      </x:c>
      <x:c r="P69">
        <x:v>29</x:v>
      </x:c>
      <x:c r="Q69" t="s">
        <x:v>27</x:v>
      </x:c>
      <x:c r="R69" t="n">
        <x:f>IF(subscriptions[[#This Row],[churned]]="Yes",1,0)</x:f>
        <x:v>0</x:v>
      </x:c>
      <x:c r="S69" s="11" t="str">
        <x:f>IF(K69="Yes",(L69-J69)/30.4375,"")</x:f>
      </x:c>
      <x:c r="T69" t="str">
        <x:f>IF(AND(K69="No",P69&lt;40,O69&lt;=4),"High Risk","")</x:f>
        <x:v>High Risk</x:v>
      </x:c>
    </x:row>
    <x:row r="70">
      <x:c r="A70" t="s">
        <x:v>127</x:v>
      </x:c>
      <x:c r="B70" t="s">
        <x:v>33</x:v>
      </x:c>
      <x:c r="C70" t="s">
        <x:v>29</x:v>
      </x:c>
      <x:c r="D70" t="s">
        <x:v>53</x:v>
      </x:c>
      <x:c r="E70" t="s">
        <x:v>46</x:v>
      </x:c>
      <x:c r="F70">
        <x:v>2</x:v>
      </x:c>
      <x:c r="G70">
        <x:v>28.35</x:v>
      </x:c>
      <x:c r="H70" t="s">
        <x:v>23</x:v>
      </x:c>
      <x:c r="I70" t="s">
        <x:v>41</x:v>
      </x:c>
      <x:c r="J70" s="1">
        <x:v>45137</x:v>
      </x:c>
      <x:c r="K70" t="s">
        <x:v>25</x:v>
      </x:c>
      <x:c r="L70" s="1">
        <x:v>45552</x:v>
      </x:c>
      <x:c r="M70" t="s">
        <x:v>86</x:v>
      </x:c>
      <x:c r="N70">
        <x:v>1</x:v>
      </x:c>
      <x:c r="O70">
        <x:v>2</x:v>
      </x:c>
      <x:c r="P70">
        <x:v>25</x:v>
      </x:c>
      <x:c r="Q70" t="s">
        <x:v>27</x:v>
      </x:c>
      <x:c r="R70" t="n">
        <x:f>IF(subscriptions[[#This Row],[churned]]="Yes",1,0)</x:f>
        <x:v>1</x:v>
      </x:c>
      <x:c r="S70" s="11" t="n">
        <x:f>IF(K70="Yes",(L70-J70)/30.4375,"")</x:f>
        <x:v>13.634496919917865</x:v>
      </x:c>
      <x:c r="T70" t="str">
        <x:f>IF(AND(K70="No",P70&lt;40,O70&lt;=4),"High Risk","")</x:f>
      </x:c>
    </x:row>
    <x:row r="71">
      <x:c r="A71" t="s">
        <x:v>128</x:v>
      </x:c>
      <x:c r="B71" t="s">
        <x:v>38</x:v>
      </x:c>
      <x:c r="C71" t="s">
        <x:v>20</x:v>
      </x:c>
      <x:c r="D71" t="s">
        <x:v>45</x:v>
      </x:c>
      <x:c r="E71" t="s">
        <x:v>22</x:v>
      </x:c>
      <x:c r="F71">
        <x:v>64</x:v>
      </x:c>
      <x:c r="G71">
        <x:v>2079.5500000000002</x:v>
      </x:c>
      <x:c r="H71" t="s">
        <x:v>23</x:v>
      </x:c>
      <x:c r="I71" t="s">
        <x:v>24</x:v>
      </x:c>
      <x:c r="J71" s="1">
        <x:v>44798</x:v>
      </x:c>
      <x:c r="K71" t="s">
        <x:v>25</x:v>
      </x:c>
      <x:c r="L71" s="1">
        <x:v>44800</x:v>
      </x:c>
      <x:c r="M71" t="s">
        <x:v>67</x:v>
      </x:c>
      <x:c r="N71">
        <x:v>3</x:v>
      </x:c>
      <x:c r="O71">
        <x:v>1</x:v>
      </x:c>
      <x:c r="P71">
        <x:v>28</x:v>
      </x:c>
      <x:c r="Q71" t="s">
        <x:v>27</x:v>
      </x:c>
      <x:c r="R71" t="n">
        <x:f>IF(subscriptions[[#This Row],[churned]]="Yes",1,0)</x:f>
        <x:v>1</x:v>
      </x:c>
      <x:c r="S71" s="11" t="n">
        <x:f>IF(K71="Yes",(L71-J71)/30.4375,"")</x:f>
        <x:v>0.06570841889117043</x:v>
      </x:c>
      <x:c r="T71" t="str">
        <x:f>IF(AND(K71="No",P71&lt;40,O71&lt;=4),"High Risk","")</x:f>
      </x:c>
    </x:row>
    <x:row r="72">
      <x:c r="A72" t="s">
        <x:v>129</x:v>
      </x:c>
      <x:c r="B72" t="s">
        <x:v>75</x:v>
      </x:c>
      <x:c r="C72" t="s">
        <x:v>20</x:v>
      </x:c>
      <x:c r="D72" t="s">
        <x:v>21</x:v>
      </x:c>
      <x:c r="E72" t="s">
        <x:v>49</x:v>
      </x:c>
      <x:c r="F72">
        <x:v>58</x:v>
      </x:c>
      <x:c r="G72">
        <x:v>4765.45</x:v>
      </x:c>
      <x:c r="H72" t="s">
        <x:v>23</x:v>
      </x:c>
      <x:c r="I72" t="s">
        <x:v>41</x:v>
      </x:c>
      <x:c r="J72" s="1">
        <x:v>44583</x:v>
      </x:c>
      <x:c r="K72" t="s">
        <x:v>27</x:v>
      </x:c>
      <x:c r="M72"/>
      <x:c r="N72">
        <x:v>4</x:v>
      </x:c>
      <x:c r="O72">
        <x:v>10</x:v>
      </x:c>
      <x:c r="P72">
        <x:v>42</x:v>
      </x:c>
      <x:c r="Q72" t="s">
        <x:v>27</x:v>
      </x:c>
      <x:c r="R72" t="n">
        <x:f>IF(subscriptions[[#This Row],[churned]]="Yes",1,0)</x:f>
        <x:v>0</x:v>
      </x:c>
      <x:c r="S72" s="11" t="str">
        <x:f>IF(K72="Yes",(L72-J72)/30.4375,"")</x:f>
      </x:c>
      <x:c r="T72" t="str">
        <x:f>IF(AND(K72="No",P72&lt;40,O72&lt;=4),"High Risk","")</x:f>
      </x:c>
    </x:row>
    <x:row r="73">
      <x:c r="A73" t="s">
        <x:v>130</x:v>
      </x:c>
      <x:c r="B73" t="s">
        <x:v>33</x:v>
      </x:c>
      <x:c r="C73" t="s">
        <x:v>20</x:v>
      </x:c>
      <x:c r="D73" t="s">
        <x:v>83</x:v>
      </x:c>
      <x:c r="E73" t="s">
        <x:v>22</x:v>
      </x:c>
      <x:c r="F73">
        <x:v>31</x:v>
      </x:c>
      <x:c r="G73">
        <x:v>159.5</x:v>
      </x:c>
      <x:c r="H73" t="s">
        <x:v>23</x:v>
      </x:c>
      <x:c r="I73" t="s">
        <x:v>24</x:v>
      </x:c>
      <x:c r="J73" s="1">
        <x:v>45464</x:v>
      </x:c>
      <x:c r="K73" t="s">
        <x:v>27</x:v>
      </x:c>
      <x:c r="M73"/>
      <x:c r="N73">
        <x:v>7</x:v>
      </x:c>
      <x:c r="O73">
        <x:v>10</x:v>
      </x:c>
      <x:c r="P73">
        <x:v>81</x:v>
      </x:c>
      <x:c r="Q73" t="s">
        <x:v>27</x:v>
      </x:c>
      <x:c r="R73" t="n">
        <x:f>IF(subscriptions[[#This Row],[churned]]="Yes",1,0)</x:f>
        <x:v>0</x:v>
      </x:c>
      <x:c r="S73" s="11" t="str">
        <x:f>IF(K73="Yes",(L73-J73)/30.4375,"")</x:f>
      </x:c>
      <x:c r="T73" t="str">
        <x:f>IF(AND(K73="No",P73&lt;40,O73&lt;=4),"High Risk","")</x:f>
      </x:c>
    </x:row>
    <x:row r="74">
      <x:c r="A74" t="s">
        <x:v>131</x:v>
      </x:c>
      <x:c r="B74" t="s">
        <x:v>19</x:v>
      </x:c>
      <x:c r="C74" t="s">
        <x:v>20</x:v>
      </x:c>
      <x:c r="D74" t="s">
        <x:v>56</x:v>
      </x:c>
      <x:c r="E74" t="s">
        <x:v>49</x:v>
      </x:c>
      <x:c r="F74">
        <x:v>106</x:v>
      </x:c>
      <x:c r="G74">
        <x:v>1323.25</x:v>
      </x:c>
      <x:c r="H74" t="s">
        <x:v>47</x:v>
      </x:c>
      <x:c r="I74" t="s">
        <x:v>24</x:v>
      </x:c>
      <x:c r="J74" s="1">
        <x:v>45797</x:v>
      </x:c>
      <x:c r="K74" t="s">
        <x:v>27</x:v>
      </x:c>
      <x:c r="M74"/>
      <x:c r="N74">
        <x:v>7</x:v>
      </x:c>
      <x:c r="O74">
        <x:v>2</x:v>
      </x:c>
      <x:c r="P74">
        <x:v>87</x:v>
      </x:c>
      <x:c r="Q74" t="s">
        <x:v>25</x:v>
      </x:c>
      <x:c r="R74" t="n">
        <x:f>IF(subscriptions[[#This Row],[churned]]="Yes",1,0)</x:f>
        <x:v>0</x:v>
      </x:c>
      <x:c r="S74" s="11" t="str">
        <x:f>IF(K74="Yes",(L74-J74)/30.4375,"")</x:f>
      </x:c>
      <x:c r="T74" t="str">
        <x:f>IF(AND(K74="No",P74&lt;40,O74&lt;=4),"High Risk","")</x:f>
      </x:c>
    </x:row>
    <x:row r="75">
      <x:c r="A75" t="s">
        <x:v>132</x:v>
      </x:c>
      <x:c r="B75" t="s">
        <x:v>33</x:v>
      </x:c>
      <x:c r="C75" t="s">
        <x:v>20</x:v>
      </x:c>
      <x:c r="D75" t="s">
        <x:v>72</x:v>
      </x:c>
      <x:c r="E75" t="s">
        <x:v>22</x:v>
      </x:c>
      <x:c r="F75">
        <x:v>42</x:v>
      </x:c>
      <x:c r="G75">
        <x:v>207.35</x:v>
      </x:c>
      <x:c r="H75" t="s">
        <x:v>64</x:v>
      </x:c>
      <x:c r="I75" t="s">
        <x:v>24</x:v>
      </x:c>
      <x:c r="J75" s="1">
        <x:v>45274</x:v>
      </x:c>
      <x:c r="K75" t="s">
        <x:v>25</x:v>
      </x:c>
      <x:c r="L75" s="1">
        <x:v>45629</x:v>
      </x:c>
      <x:c r="M75" t="s">
        <x:v>60</x:v>
      </x:c>
      <x:c r="N75">
        <x:v>12</x:v>
      </x:c>
      <x:c r="O75">
        <x:v>3</x:v>
      </x:c>
      <x:c r="P75">
        <x:v>10</x:v>
      </x:c>
      <x:c r="Q75" t="s">
        <x:v>27</x:v>
      </x:c>
      <x:c r="R75" t="n">
        <x:f>IF(subscriptions[[#This Row],[churned]]="Yes",1,0)</x:f>
        <x:v>1</x:v>
      </x:c>
      <x:c r="S75" s="11" t="n">
        <x:f>IF(K75="Yes",(L75-J75)/30.4375,"")</x:f>
        <x:v>11.663244353182751</x:v>
      </x:c>
      <x:c r="T75" t="str">
        <x:f>IF(AND(K75="No",P75&lt;40,O75&lt;=4),"High Risk","")</x:f>
      </x:c>
    </x:row>
    <x:row r="76">
      <x:c r="A76" t="s">
        <x:v>133</x:v>
      </x:c>
      <x:c r="B76" t="s">
        <x:v>19</x:v>
      </x:c>
      <x:c r="C76" t="s">
        <x:v>20</x:v>
      </x:c>
      <x:c r="D76" t="s">
        <x:v>21</x:v>
      </x:c>
      <x:c r="E76" t="s">
        <x:v>46</x:v>
      </x:c>
      <x:c r="F76">
        <x:v>6</x:v>
      </x:c>
      <x:c r="G76">
        <x:v>138.25</x:v>
      </x:c>
      <x:c r="H76" t="s">
        <x:v>64</x:v>
      </x:c>
      <x:c r="I76" t="s">
        <x:v>24</x:v>
      </x:c>
      <x:c r="J76" s="1">
        <x:v>44925</x:v>
      </x:c>
      <x:c r="K76" t="s">
        <x:v>27</x:v>
      </x:c>
      <x:c r="M76"/>
      <x:c r="N76">
        <x:v>5</x:v>
      </x:c>
      <x:c r="O76">
        <x:v>1</x:v>
      </x:c>
      <x:c r="P76">
        <x:v>49</x:v>
      </x:c>
      <x:c r="Q76" t="s">
        <x:v>27</x:v>
      </x:c>
      <x:c r="R76" t="n">
        <x:f>IF(subscriptions[[#This Row],[churned]]="Yes",1,0)</x:f>
        <x:v>0</x:v>
      </x:c>
      <x:c r="S76" s="11" t="str">
        <x:f>IF(K76="Yes",(L76-J76)/30.4375,"")</x:f>
      </x:c>
      <x:c r="T76" t="str">
        <x:f>IF(AND(K76="No",P76&lt;40,O76&lt;=4),"High Risk","")</x:f>
      </x:c>
    </x:row>
    <x:row r="77">
      <x:c r="A77" t="s">
        <x:v>134</x:v>
      </x:c>
      <x:c r="B77" t="s">
        <x:v>19</x:v>
      </x:c>
      <x:c r="C77" t="s">
        <x:v>29</x:v>
      </x:c>
      <x:c r="D77" t="s">
        <x:v>56</x:v>
      </x:c>
      <x:c r="E77" t="s">
        <x:v>49</x:v>
      </x:c>
      <x:c r="F77">
        <x:v>56</x:v>
      </x:c>
      <x:c r="G77">
        <x:v>621.14</x:v>
      </x:c>
      <x:c r="H77" t="s">
        <x:v>47</x:v>
      </x:c>
      <x:c r="I77" t="s">
        <x:v>41</x:v>
      </x:c>
      <x:c r="J77" s="1">
        <x:v>45354</x:v>
      </x:c>
      <x:c r="K77" t="s">
        <x:v>27</x:v>
      </x:c>
      <x:c r="M77"/>
      <x:c r="N77">
        <x:v>2</x:v>
      </x:c>
      <x:c r="O77">
        <x:v>5</x:v>
      </x:c>
      <x:c r="P77">
        <x:v>87</x:v>
      </x:c>
      <x:c r="Q77" t="s">
        <x:v>27</x:v>
      </x:c>
      <x:c r="R77" t="n">
        <x:f>IF(subscriptions[[#This Row],[churned]]="Yes",1,0)</x:f>
        <x:v>0</x:v>
      </x:c>
      <x:c r="S77" s="11" t="str">
        <x:f>IF(K77="Yes",(L77-J77)/30.4375,"")</x:f>
      </x:c>
      <x:c r="T77" t="str">
        <x:f>IF(AND(K77="No",P77&lt;40,O77&lt;=4),"High Risk","")</x:f>
      </x:c>
    </x:row>
    <x:row r="78">
      <x:c r="A78" t="s">
        <x:v>135</x:v>
      </x:c>
      <x:c r="B78" t="s">
        <x:v>75</x:v>
      </x:c>
      <x:c r="C78" t="s">
        <x:v>20</x:v>
      </x:c>
      <x:c r="D78" t="s">
        <x:v>53</x:v>
      </x:c>
      <x:c r="E78" t="s">
        <x:v>22</x:v>
      </x:c>
      <x:c r="F78">
        <x:v>52</x:v>
      </x:c>
      <x:c r="G78">
        <x:v>4316.3500000000004</x:v>
      </x:c>
      <x:c r="H78" t="s">
        <x:v>36</x:v>
      </x:c>
      <x:c r="I78" t="s">
        <x:v>41</x:v>
      </x:c>
      <x:c r="J78" s="1">
        <x:v>45047</x:v>
      </x:c>
      <x:c r="K78" t="s">
        <x:v>27</x:v>
      </x:c>
      <x:c r="M78"/>
      <x:c r="N78">
        <x:v>4</x:v>
      </x:c>
      <x:c r="O78">
        <x:v>7</x:v>
      </x:c>
      <x:c r="P78">
        <x:v>88</x:v>
      </x:c>
      <x:c r="Q78" t="s">
        <x:v>27</x:v>
      </x:c>
      <x:c r="R78" t="n">
        <x:f>IF(subscriptions[[#This Row],[churned]]="Yes",1,0)</x:f>
        <x:v>0</x:v>
      </x:c>
      <x:c r="S78" s="11" t="str">
        <x:f>IF(K78="Yes",(L78-J78)/30.4375,"")</x:f>
      </x:c>
      <x:c r="T78" t="str">
        <x:f>IF(AND(K78="No",P78&lt;40,O78&lt;=4),"High Risk","")</x:f>
      </x:c>
    </x:row>
    <x:row r="79">
      <x:c r="A79" t="s">
        <x:v>136</x:v>
      </x:c>
      <x:c r="B79" t="s">
        <x:v>33</x:v>
      </x:c>
      <x:c r="C79" t="s">
        <x:v>29</x:v>
      </x:c>
      <x:c r="D79" t="s">
        <x:v>53</x:v>
      </x:c>
      <x:c r="E79" t="s">
        <x:v>22</x:v>
      </x:c>
      <x:c r="F79">
        <x:v>24</x:v>
      </x:c>
      <x:c r="G79">
        <x:v>109.69</x:v>
      </x:c>
      <x:c r="H79" t="s">
        <x:v>36</x:v>
      </x:c>
      <x:c r="I79" t="s">
        <x:v>41</x:v>
      </x:c>
      <x:c r="J79" s="1">
        <x:v>44978</x:v>
      </x:c>
      <x:c r="K79" t="s">
        <x:v>25</x:v>
      </x:c>
      <x:c r="L79" s="1">
        <x:v>45909</x:v>
      </x:c>
      <x:c r="M79" t="s">
        <x:v>57</x:v>
      </x:c>
      <x:c r="N79">
        <x:v>2</x:v>
      </x:c>
      <x:c r="O79">
        <x:v>4</x:v>
      </x:c>
      <x:c r="P79">
        <x:v>16</x:v>
      </x:c>
      <x:c r="Q79" t="s">
        <x:v>27</x:v>
      </x:c>
      <x:c r="R79" t="n">
        <x:f>IF(subscriptions[[#This Row],[churned]]="Yes",1,0)</x:f>
        <x:v>1</x:v>
      </x:c>
      <x:c r="S79" s="11" t="n">
        <x:f>IF(K79="Yes",(L79-J79)/30.4375,"")</x:f>
        <x:v>30.587268993839835</x:v>
      </x:c>
      <x:c r="T79" t="str">
        <x:f>IF(AND(K79="No",P79&lt;40,O79&lt;=4),"High Risk","")</x:f>
      </x:c>
    </x:row>
    <x:row r="80">
      <x:c r="A80" t="s">
        <x:v>137</x:v>
      </x:c>
      <x:c r="B80" t="s">
        <x:v>38</x:v>
      </x:c>
      <x:c r="C80" t="s">
        <x:v>20</x:v>
      </x:c>
      <x:c r="D80" t="s">
        <x:v>56</x:v>
      </x:c>
      <x:c r="E80" t="s">
        <x:v>22</x:v>
      </x:c>
      <x:c r="F80">
        <x:v>40</x:v>
      </x:c>
      <x:c r="G80">
        <x:v>1363.15</x:v>
      </x:c>
      <x:c r="H80" t="s">
        <x:v>102</x:v>
      </x:c>
      <x:c r="I80" t="s">
        <x:v>24</x:v>
      </x:c>
      <x:c r="J80" s="1">
        <x:v>45297</x:v>
      </x:c>
      <x:c r="K80" t="s">
        <x:v>27</x:v>
      </x:c>
      <x:c r="M80"/>
      <x:c r="N80">
        <x:v>0</x:v>
      </x:c>
      <x:c r="O80">
        <x:v>4</x:v>
      </x:c>
      <x:c r="P80">
        <x:v>29</x:v>
      </x:c>
      <x:c r="Q80" t="s">
        <x:v>27</x:v>
      </x:c>
      <x:c r="R80" t="n">
        <x:f>IF(subscriptions[[#This Row],[churned]]="Yes",1,0)</x:f>
        <x:v>0</x:v>
      </x:c>
      <x:c r="S80" s="11" t="str">
        <x:f>IF(K80="Yes",(L80-J80)/30.4375,"")</x:f>
      </x:c>
      <x:c r="T80" t="str">
        <x:f>IF(AND(K80="No",P80&lt;40,O80&lt;=4),"High Risk","")</x:f>
        <x:v>High Risk</x:v>
      </x:c>
    </x:row>
    <x:row r="81">
      <x:c r="A81" t="s">
        <x:v>138</x:v>
      </x:c>
      <x:c r="B81" t="s">
        <x:v>33</x:v>
      </x:c>
      <x:c r="C81" t="s">
        <x:v>20</x:v>
      </x:c>
      <x:c r="D81" t="s">
        <x:v>56</x:v>
      </x:c>
      <x:c r="E81" t="s">
        <x:v>40</x:v>
      </x:c>
      <x:c r="F81">
        <x:v>5</x:v>
      </x:c>
      <x:c r="G81">
        <x:v>46.4</x:v>
      </x:c>
      <x:c r="H81" t="s">
        <x:v>23</x:v>
      </x:c>
      <x:c r="I81" t="s">
        <x:v>59</x:v>
      </x:c>
      <x:c r="J81" s="1">
        <x:v>45721</x:v>
      </x:c>
      <x:c r="K81" t="s">
        <x:v>25</x:v>
      </x:c>
      <x:c r="L81" s="1">
        <x:v>45753</x:v>
      </x:c>
      <x:c r="M81" t="s">
        <x:v>67</x:v>
      </x:c>
      <x:c r="N81">
        <x:v>0</x:v>
      </x:c>
      <x:c r="O81">
        <x:v>6</x:v>
      </x:c>
      <x:c r="P81">
        <x:v>20</x:v>
      </x:c>
      <x:c r="Q81" t="s">
        <x:v>27</x:v>
      </x:c>
      <x:c r="R81" t="n">
        <x:f>IF(subscriptions[[#This Row],[churned]]="Yes",1,0)</x:f>
        <x:v>1</x:v>
      </x:c>
      <x:c r="S81" s="11" t="n">
        <x:f>IF(K81="Yes",(L81-J81)/30.4375,"")</x:f>
        <x:v>1.051334702258727</x:v>
      </x:c>
      <x:c r="T81" t="str">
        <x:f>IF(AND(K81="No",P81&lt;40,O81&lt;=4),"High Risk","")</x:f>
      </x:c>
    </x:row>
    <x:row r="82">
      <x:c r="A82" t="s">
        <x:v>139</x:v>
      </x:c>
      <x:c r="B82" t="s">
        <x:v>38</x:v>
      </x:c>
      <x:c r="C82" t="s">
        <x:v>29</x:v>
      </x:c>
      <x:c r="D82" t="s">
        <x:v>34</x:v>
      </x:c>
      <x:c r="E82" t="s">
        <x:v>40</x:v>
      </x:c>
      <x:c r="F82">
        <x:v>24</x:v>
      </x:c>
      <x:c r="G82">
        <x:v>752.72</x:v>
      </x:c>
      <x:c r="H82" t="s">
        <x:v>23</x:v>
      </x:c>
      <x:c r="I82" t="s">
        <x:v>59</x:v>
      </x:c>
      <x:c r="J82" s="1">
        <x:v>45308</x:v>
      </x:c>
      <x:c r="K82" t="s">
        <x:v>27</x:v>
      </x:c>
      <x:c r="M82"/>
      <x:c r="N82">
        <x:v>2</x:v>
      </x:c>
      <x:c r="O82">
        <x:v>6</x:v>
      </x:c>
      <x:c r="P82">
        <x:v>86</x:v>
      </x:c>
      <x:c r="Q82" t="s">
        <x:v>27</x:v>
      </x:c>
      <x:c r="R82" t="n">
        <x:f>IF(subscriptions[[#This Row],[churned]]="Yes",1,0)</x:f>
        <x:v>0</x:v>
      </x:c>
      <x:c r="S82" s="11" t="str">
        <x:f>IF(K82="Yes",(L82-J82)/30.4375,"")</x:f>
      </x:c>
      <x:c r="T82" t="str">
        <x:f>IF(AND(K82="No",P82&lt;40,O82&lt;=4),"High Risk","")</x:f>
      </x:c>
    </x:row>
    <x:row r="83">
      <x:c r="A83" t="s">
        <x:v>140</x:v>
      </x:c>
      <x:c r="B83" t="s">
        <x:v>33</x:v>
      </x:c>
      <x:c r="C83" t="s">
        <x:v>29</x:v>
      </x:c>
      <x:c r="D83" t="s">
        <x:v>45</x:v>
      </x:c>
      <x:c r="E83" t="s">
        <x:v>46</x:v>
      </x:c>
      <x:c r="F83">
        <x:v>1</x:v>
      </x:c>
      <x:c r="G83">
        <x:v>24.65</x:v>
      </x:c>
      <x:c r="H83" t="s">
        <x:v>102</x:v>
      </x:c>
      <x:c r="I83" t="s">
        <x:v>41</x:v>
      </x:c>
      <x:c r="J83" s="1">
        <x:v>45462</x:v>
      </x:c>
      <x:c r="K83" t="s">
        <x:v>25</x:v>
      </x:c>
      <x:c r="L83" s="1">
        <x:v>45812</x:v>
      </x:c>
      <x:c r="M83" t="s">
        <x:v>57</x:v>
      </x:c>
      <x:c r="N83">
        <x:v>14</x:v>
      </x:c>
      <x:c r="O83">
        <x:v>2</x:v>
      </x:c>
      <x:c r="P83">
        <x:v>22</x:v>
      </x:c>
      <x:c r="Q83" t="s">
        <x:v>27</x:v>
      </x:c>
      <x:c r="R83" t="n">
        <x:f>IF(subscriptions[[#This Row],[churned]]="Yes",1,0)</x:f>
        <x:v>1</x:v>
      </x:c>
      <x:c r="S83" s="11" t="n">
        <x:f>IF(K83="Yes",(L83-J83)/30.4375,"")</x:f>
        <x:v>11.498973305954825</x:v>
      </x:c>
      <x:c r="T83" t="str">
        <x:f>IF(AND(K83="No",P83&lt;40,O83&lt;=4),"High Risk","")</x:f>
      </x:c>
    </x:row>
    <x:row r="84">
      <x:c r="A84" t="s">
        <x:v>141</x:v>
      </x:c>
      <x:c r="B84" t="s">
        <x:v>19</x:v>
      </x:c>
      <x:c r="C84" t="s">
        <x:v>20</x:v>
      </x:c>
      <x:c r="D84" t="s">
        <x:v>66</x:v>
      </x:c>
      <x:c r="E84" t="s">
        <x:v>46</x:v>
      </x:c>
      <x:c r="F84">
        <x:v>5</x:v>
      </x:c>
      <x:c r="G84">
        <x:v>126.4</x:v>
      </x:c>
      <x:c r="H84" t="s">
        <x:v>64</x:v>
      </x:c>
      <x:c r="I84" t="s">
        <x:v>59</x:v>
      </x:c>
      <x:c r="J84" s="1">
        <x:v>45912</x:v>
      </x:c>
      <x:c r="K84" t="s">
        <x:v>27</x:v>
      </x:c>
      <x:c r="M84"/>
      <x:c r="N84">
        <x:v>6</x:v>
      </x:c>
      <x:c r="O84">
        <x:v>9</x:v>
      </x:c>
      <x:c r="P84">
        <x:v>56</x:v>
      </x:c>
      <x:c r="Q84" t="s">
        <x:v>27</x:v>
      </x:c>
      <x:c r="R84" t="n">
        <x:f>IF(subscriptions[[#This Row],[churned]]="Yes",1,0)</x:f>
        <x:v>0</x:v>
      </x:c>
      <x:c r="S84" s="11" t="str">
        <x:f>IF(K84="Yes",(L84-J84)/30.4375,"")</x:f>
      </x:c>
      <x:c r="T84" t="str">
        <x:f>IF(AND(K84="No",P84&lt;40,O84&lt;=4),"High Risk","")</x:f>
      </x:c>
    </x:row>
    <x:row r="85">
      <x:c r="A85" t="s">
        <x:v>142</x:v>
      </x:c>
      <x:c r="B85" t="s">
        <x:v>38</x:v>
      </x:c>
      <x:c r="C85" t="s">
        <x:v>20</x:v>
      </x:c>
      <x:c r="D85" t="s">
        <x:v>39</x:v>
      </x:c>
      <x:c r="E85" t="s">
        <x:v>49</x:v>
      </x:c>
      <x:c r="F85">
        <x:v>71</x:v>
      </x:c>
      <x:c r="G85">
        <x:v>2288.5</x:v>
      </x:c>
      <x:c r="H85" t="s">
        <x:v>47</x:v>
      </x:c>
      <x:c r="I85" t="s">
        <x:v>41</x:v>
      </x:c>
      <x:c r="J85" s="1">
        <x:v>44947</x:v>
      </x:c>
      <x:c r="K85" t="s">
        <x:v>25</x:v>
      </x:c>
      <x:c r="L85" s="1">
        <x:v>45308</x:v>
      </x:c>
      <x:c r="M85" t="s">
        <x:v>86</x:v>
      </x:c>
      <x:c r="N85">
        <x:v>6</x:v>
      </x:c>
      <x:c r="O85">
        <x:v>5</x:v>
      </x:c>
      <x:c r="P85">
        <x:v>29</x:v>
      </x:c>
      <x:c r="Q85" t="s">
        <x:v>27</x:v>
      </x:c>
      <x:c r="R85" t="n">
        <x:f>IF(subscriptions[[#This Row],[churned]]="Yes",1,0)</x:f>
        <x:v>1</x:v>
      </x:c>
      <x:c r="S85" s="11" t="n">
        <x:f>IF(K85="Yes",(L85-J85)/30.4375,"")</x:f>
        <x:v>11.860369609856264</x:v>
      </x:c>
      <x:c r="T85" t="str">
        <x:f>IF(AND(K85="No",P85&lt;40,O85&lt;=4),"High Risk","")</x:f>
      </x:c>
    </x:row>
    <x:row r="86">
      <x:c r="A86" t="s">
        <x:v>143</x:v>
      </x:c>
      <x:c r="B86" t="s">
        <x:v>33</x:v>
      </x:c>
      <x:c r="C86" t="s">
        <x:v>20</x:v>
      </x:c>
      <x:c r="D86" t="s">
        <x:v>39</x:v>
      </x:c>
      <x:c r="E86" t="s">
        <x:v>40</x:v>
      </x:c>
      <x:c r="F86">
        <x:v>21</x:v>
      </x:c>
      <x:c r="G86">
        <x:v>116</x:v>
      </x:c>
      <x:c r="H86" t="s">
        <x:v>36</x:v>
      </x:c>
      <x:c r="I86" t="s">
        <x:v>73</x:v>
      </x:c>
      <x:c r="J86" s="1">
        <x:v>45661</x:v>
      </x:c>
      <x:c r="K86" t="s">
        <x:v>25</x:v>
      </x:c>
      <x:c r="L86" s="1">
        <x:v>45730</x:v>
      </x:c>
      <x:c r="M86" t="s">
        <x:v>60</x:v>
      </x:c>
      <x:c r="N86">
        <x:v>13</x:v>
      </x:c>
      <x:c r="O86">
        <x:v>2</x:v>
      </x:c>
      <x:c r="P86">
        <x:v>42</x:v>
      </x:c>
      <x:c r="Q86" t="s">
        <x:v>27</x:v>
      </x:c>
      <x:c r="R86" t="n">
        <x:f>IF(subscriptions[[#This Row],[churned]]="Yes",1,0)</x:f>
        <x:v>1</x:v>
      </x:c>
      <x:c r="S86" s="11" t="n">
        <x:f>IF(K86="Yes",(L86-J86)/30.4375,"")</x:f>
        <x:v>2.2669404517453797</x:v>
      </x:c>
      <x:c r="T86" t="str">
        <x:f>IF(AND(K86="No",P86&lt;40,O86&lt;=4),"High Risk","")</x:f>
      </x:c>
    </x:row>
    <x:row r="87">
      <x:c r="A87" t="s">
        <x:v>144</x:v>
      </x:c>
      <x:c r="B87" t="s">
        <x:v>38</x:v>
      </x:c>
      <x:c r="C87" t="s">
        <x:v>20</x:v>
      </x:c>
      <x:c r="D87" t="s">
        <x:v>45</x:v>
      </x:c>
      <x:c r="E87" t="s">
        <x:v>40</x:v>
      </x:c>
      <x:c r="F87">
        <x:v>27</x:v>
      </x:c>
      <x:c r="G87">
        <x:v>975.1</x:v>
      </x:c>
      <x:c r="H87" t="s">
        <x:v>36</x:v>
      </x:c>
      <x:c r="I87" t="s">
        <x:v>41</x:v>
      </x:c>
      <x:c r="J87" s="1">
        <x:v>45479</x:v>
      </x:c>
      <x:c r="K87" t="s">
        <x:v>27</x:v>
      </x:c>
      <x:c r="M87"/>
      <x:c r="N87">
        <x:v>9</x:v>
      </x:c>
      <x:c r="O87">
        <x:v>7</x:v>
      </x:c>
      <x:c r="P87">
        <x:v>35</x:v>
      </x:c>
      <x:c r="Q87" t="s">
        <x:v>27</x:v>
      </x:c>
      <x:c r="R87" t="n">
        <x:f>IF(subscriptions[[#This Row],[churned]]="Yes",1,0)</x:f>
        <x:v>0</x:v>
      </x:c>
      <x:c r="S87" s="11" t="str">
        <x:f>IF(K87="Yes",(L87-J87)/30.4375,"")</x:f>
      </x:c>
      <x:c r="T87" t="str">
        <x:f>IF(AND(K87="No",P87&lt;40,O87&lt;=4),"High Risk","")</x:f>
      </x:c>
    </x:row>
    <x:row r="88">
      <x:c r="A88" t="s">
        <x:v>145</x:v>
      </x:c>
      <x:c r="B88" t="s">
        <x:v>19</x:v>
      </x:c>
      <x:c r="C88" t="s">
        <x:v>29</x:v>
      </x:c>
      <x:c r="D88" t="s">
        <x:v>66</x:v>
      </x:c>
      <x:c r="E88" t="s">
        <x:v>22</x:v>
      </x:c>
      <x:c r="F88">
        <x:v>17</x:v>
      </x:c>
      <x:c r="G88">
        <x:v>228.31</x:v>
      </x:c>
      <x:c r="H88" t="s">
        <x:v>30</x:v>
      </x:c>
      <x:c r="I88" t="s">
        <x:v>41</x:v>
      </x:c>
      <x:c r="J88" s="1">
        <x:v>45421</x:v>
      </x:c>
      <x:c r="K88" t="s">
        <x:v>27</x:v>
      </x:c>
      <x:c r="M88"/>
      <x:c r="N88">
        <x:v>2</x:v>
      </x:c>
      <x:c r="O88">
        <x:v>4</x:v>
      </x:c>
      <x:c r="P88">
        <x:v>88</x:v>
      </x:c>
      <x:c r="Q88" t="s">
        <x:v>27</x:v>
      </x:c>
      <x:c r="R88" t="n">
        <x:f>IF(subscriptions[[#This Row],[churned]]="Yes",1,0)</x:f>
        <x:v>0</x:v>
      </x:c>
      <x:c r="S88" s="11" t="str">
        <x:f>IF(K88="Yes",(L88-J88)/30.4375,"")</x:f>
      </x:c>
      <x:c r="T88" t="str">
        <x:f>IF(AND(K88="No",P88&lt;40,O88&lt;=4),"High Risk","")</x:f>
      </x:c>
    </x:row>
    <x:row r="89">
      <x:c r="A89" t="s">
        <x:v>146</x:v>
      </x:c>
      <x:c r="B89" t="s">
        <x:v>33</x:v>
      </x:c>
      <x:c r="C89" t="s">
        <x:v>20</x:v>
      </x:c>
      <x:c r="D89" t="s">
        <x:v>83</x:v>
      </x:c>
      <x:c r="E89" t="s">
        <x:v>22</x:v>
      </x:c>
      <x:c r="F89">
        <x:v>76</x:v>
      </x:c>
      <x:c r="G89">
        <x:v>355.25</x:v>
      </x:c>
      <x:c r="H89" t="s">
        <x:v>47</x:v>
      </x:c>
      <x:c r="I89" t="s">
        <x:v>59</x:v>
      </x:c>
      <x:c r="J89" s="1">
        <x:v>45641</x:v>
      </x:c>
      <x:c r="K89" t="s">
        <x:v>25</x:v>
      </x:c>
      <x:c r="L89" s="1">
        <x:v>45806</x:v>
      </x:c>
      <x:c r="M89" t="s">
        <x:v>57</x:v>
      </x:c>
      <x:c r="N89">
        <x:v>7</x:v>
      </x:c>
      <x:c r="O89">
        <x:v>3</x:v>
      </x:c>
      <x:c r="P89">
        <x:v>20</x:v>
      </x:c>
      <x:c r="Q89" t="s">
        <x:v>27</x:v>
      </x:c>
      <x:c r="R89" t="n">
        <x:f>IF(subscriptions[[#This Row],[churned]]="Yes",1,0)</x:f>
        <x:v>1</x:v>
      </x:c>
      <x:c r="S89" s="11" t="n">
        <x:f>IF(K89="Yes",(L89-J89)/30.4375,"")</x:f>
        <x:v>5.420944558521561</x:v>
      </x:c>
      <x:c r="T89" t="str">
        <x:f>IF(AND(K89="No",P89&lt;40,O89&lt;=4),"High Risk","")</x:f>
      </x:c>
    </x:row>
    <x:row r="90">
      <x:c r="A90" t="s">
        <x:v>147</x:v>
      </x:c>
      <x:c r="B90" t="s">
        <x:v>19</x:v>
      </x:c>
      <x:c r="C90" t="s">
        <x:v>29</x:v>
      </x:c>
      <x:c r="D90" t="s">
        <x:v>56</x:v>
      </x:c>
      <x:c r="E90" t="s">
        <x:v>49</x:v>
      </x:c>
      <x:c r="F90">
        <x:v>75</x:v>
      </x:c>
      <x:c r="G90">
        <x:v>812.51</x:v>
      </x:c>
      <x:c r="H90" t="s">
        <x:v>23</x:v>
      </x:c>
      <x:c r="I90" t="s">
        <x:v>59</x:v>
      </x:c>
      <x:c r="J90" s="1">
        <x:v>44886</x:v>
      </x:c>
      <x:c r="K90" t="s">
        <x:v>25</x:v>
      </x:c>
      <x:c r="L90" s="1">
        <x:v>45200</x:v>
      </x:c>
      <x:c r="M90" t="s">
        <x:v>50</x:v>
      </x:c>
      <x:c r="N90">
        <x:v>12</x:v>
      </x:c>
      <x:c r="O90">
        <x:v>6</x:v>
      </x:c>
      <x:c r="P90">
        <x:v>20</x:v>
      </x:c>
      <x:c r="Q90" t="s">
        <x:v>27</x:v>
      </x:c>
      <x:c r="R90" t="n">
        <x:f>IF(subscriptions[[#This Row],[churned]]="Yes",1,0)</x:f>
        <x:v>1</x:v>
      </x:c>
      <x:c r="S90" s="11" t="n">
        <x:f>IF(K90="Yes",(L90-J90)/30.4375,"")</x:f>
        <x:v>10.316221765913758</x:v>
      </x:c>
      <x:c r="T90" t="str">
        <x:f>IF(AND(K90="No",P90&lt;40,O90&lt;=4),"High Risk","")</x:f>
      </x:c>
    </x:row>
    <x:row r="91">
      <x:c r="A91" t="s">
        <x:v>148</x:v>
      </x:c>
      <x:c r="B91" t="s">
        <x:v>38</x:v>
      </x:c>
      <x:c r="C91" t="s">
        <x:v>29</x:v>
      </x:c>
      <x:c r="D91" t="s">
        <x:v>56</x:v>
      </x:c>
      <x:c r="E91" t="s">
        <x:v>22</x:v>
      </x:c>
      <x:c r="F91">
        <x:v>67</x:v>
      </x:c>
      <x:c r="G91">
        <x:v>1843.73</x:v>
      </x:c>
      <x:c r="H91" t="s">
        <x:v>64</x:v>
      </x:c>
      <x:c r="I91" t="s">
        <x:v>41</x:v>
      </x:c>
      <x:c r="J91" s="1">
        <x:v>44648</x:v>
      </x:c>
      <x:c r="K91" t="s">
        <x:v>25</x:v>
      </x:c>
      <x:c r="L91" s="1">
        <x:v>44885</x:v>
      </x:c>
      <x:c r="M91" t="s">
        <x:v>54</x:v>
      </x:c>
      <x:c r="N91">
        <x:v>7</x:v>
      </x:c>
      <x:c r="O91">
        <x:v>1</x:v>
      </x:c>
      <x:c r="P91">
        <x:v>36</x:v>
      </x:c>
      <x:c r="Q91" t="s">
        <x:v>27</x:v>
      </x:c>
      <x:c r="R91" t="n">
        <x:f>IF(subscriptions[[#This Row],[churned]]="Yes",1,0)</x:f>
        <x:v>1</x:v>
      </x:c>
      <x:c r="S91" s="11" t="n">
        <x:f>IF(K91="Yes",(L91-J91)/30.4375,"")</x:f>
        <x:v>7.786447638603696</x:v>
      </x:c>
      <x:c r="T91" t="str">
        <x:f>IF(AND(K91="No",P91&lt;40,O91&lt;=4),"High Risk","")</x:f>
      </x:c>
    </x:row>
    <x:row r="92">
      <x:c r="A92" t="s">
        <x:v>149</x:v>
      </x:c>
      <x:c r="B92" t="s">
        <x:v>75</x:v>
      </x:c>
      <x:c r="C92" t="s">
        <x:v>29</x:v>
      </x:c>
      <x:c r="D92" t="s">
        <x:v>53</x:v>
      </x:c>
      <x:c r="E92" t="s">
        <x:v>40</x:v>
      </x:c>
      <x:c r="F92">
        <x:v>20</x:v>
      </x:c>
      <x:c r="G92">
        <x:v>1632.98</x:v>
      </x:c>
      <x:c r="H92" t="s">
        <x:v>47</x:v>
      </x:c>
      <x:c r="I92" t="s">
        <x:v>24</x:v>
      </x:c>
      <x:c r="J92" s="1">
        <x:v>45596</x:v>
      </x:c>
      <x:c r="K92" t="s">
        <x:v>25</x:v>
      </x:c>
      <x:c r="L92" s="1">
        <x:v>45710</x:v>
      </x:c>
      <x:c r="M92" t="s">
        <x:v>60</x:v>
      </x:c>
      <x:c r="N92">
        <x:v>13</x:v>
      </x:c>
      <x:c r="O92">
        <x:v>2</x:v>
      </x:c>
      <x:c r="P92">
        <x:v>42</x:v>
      </x:c>
      <x:c r="Q92" t="s">
        <x:v>27</x:v>
      </x:c>
      <x:c r="R92" t="n">
        <x:f>IF(subscriptions[[#This Row],[churned]]="Yes",1,0)</x:f>
        <x:v>1</x:v>
      </x:c>
      <x:c r="S92" s="11" t="n">
        <x:f>IF(K92="Yes",(L92-J92)/30.4375,"")</x:f>
        <x:v>3.7453798767967146</x:v>
      </x:c>
      <x:c r="T92" t="str">
        <x:f>IF(AND(K92="No",P92&lt;40,O92&lt;=4),"High Risk","")</x:f>
      </x:c>
    </x:row>
    <x:row r="93">
      <x:c r="A93" t="s">
        <x:v>150</x:v>
      </x:c>
      <x:c r="B93" t="s">
        <x:v>33</x:v>
      </x:c>
      <x:c r="C93" t="s">
        <x:v>20</x:v>
      </x:c>
      <x:c r="D93" t="s">
        <x:v>83</x:v>
      </x:c>
      <x:c r="E93" t="s">
        <x:v>46</x:v>
      </x:c>
      <x:c r="F93">
        <x:v>5</x:v>
      </x:c>
      <x:c r="G93">
        <x:v>46.4</x:v>
      </x:c>
      <x:c r="H93" t="s">
        <x:v>36</x:v>
      </x:c>
      <x:c r="I93" t="s">
        <x:v>59</x:v>
      </x:c>
      <x:c r="J93" s="1">
        <x:v>45732</x:v>
      </x:c>
      <x:c r="K93" t="s">
        <x:v>27</x:v>
      </x:c>
      <x:c r="M93"/>
      <x:c r="N93">
        <x:v>7</x:v>
      </x:c>
      <x:c r="O93">
        <x:v>7</x:v>
      </x:c>
      <x:c r="P93">
        <x:v>41</x:v>
      </x:c>
      <x:c r="Q93" t="s">
        <x:v>27</x:v>
      </x:c>
      <x:c r="R93" t="n">
        <x:f>IF(subscriptions[[#This Row],[churned]]="Yes",1,0)</x:f>
        <x:v>0</x:v>
      </x:c>
      <x:c r="S93" s="11" t="str">
        <x:f>IF(K93="Yes",(L93-J93)/30.4375,"")</x:f>
      </x:c>
      <x:c r="T93" t="str">
        <x:f>IF(AND(K93="No",P93&lt;40,O93&lt;=4),"High Risk","")</x:f>
      </x:c>
    </x:row>
    <x:row r="94">
      <x:c r="A94" t="s">
        <x:v>151</x:v>
      </x:c>
      <x:c r="B94" t="s">
        <x:v>33</x:v>
      </x:c>
      <x:c r="C94" t="s">
        <x:v>20</x:v>
      </x:c>
      <x:c r="D94" t="s">
        <x:v>43</x:v>
      </x:c>
      <x:c r="E94" t="s">
        <x:v>46</x:v>
      </x:c>
      <x:c r="F94">
        <x:v>7</x:v>
      </x:c>
      <x:c r="G94">
        <x:v>55.1</x:v>
      </x:c>
      <x:c r="H94" t="s">
        <x:v>30</x:v>
      </x:c>
      <x:c r="I94" t="s">
        <x:v>24</x:v>
      </x:c>
      <x:c r="J94" s="1">
        <x:v>45960</x:v>
      </x:c>
      <x:c r="K94" t="s">
        <x:v>27</x:v>
      </x:c>
      <x:c r="M94"/>
      <x:c r="N94">
        <x:v>2</x:v>
      </x:c>
      <x:c r="O94">
        <x:v>10</x:v>
      </x:c>
      <x:c r="P94">
        <x:v>63</x:v>
      </x:c>
      <x:c r="Q94" t="s">
        <x:v>27</x:v>
      </x:c>
      <x:c r="R94" t="n">
        <x:f>IF(subscriptions[[#This Row],[churned]]="Yes",1,0)</x:f>
        <x:v>0</x:v>
      </x:c>
      <x:c r="S94" s="11" t="str">
        <x:f>IF(K94="Yes",(L94-J94)/30.4375,"")</x:f>
      </x:c>
      <x:c r="T94" t="str">
        <x:f>IF(AND(K94="No",P94&lt;40,O94&lt;=4),"High Risk","")</x:f>
      </x:c>
    </x:row>
    <x:row r="95">
      <x:c r="A95" t="s">
        <x:v>152</x:v>
      </x:c>
      <x:c r="B95" t="s">
        <x:v>38</x:v>
      </x:c>
      <x:c r="C95" t="s">
        <x:v>20</x:v>
      </x:c>
      <x:c r="D95" t="s">
        <x:v>66</x:v>
      </x:c>
      <x:c r="E95" t="s">
        <x:v>35</x:v>
      </x:c>
      <x:c r="F95">
        <x:v>234</x:v>
      </x:c>
      <x:c r="G95">
        <x:v>7154.05</x:v>
      </x:c>
      <x:c r="H95" t="s">
        <x:v>36</x:v>
      </x:c>
      <x:c r="I95" t="s">
        <x:v>24</x:v>
      </x:c>
      <x:c r="J95" s="1">
        <x:v>44771</x:v>
      </x:c>
      <x:c r="K95" t="s">
        <x:v>25</x:v>
      </x:c>
      <x:c r="L95" s="1">
        <x:v>45930</x:v>
      </x:c>
      <x:c r="M95" t="s">
        <x:v>50</x:v>
      </x:c>
      <x:c r="N95">
        <x:v>4</x:v>
      </x:c>
      <x:c r="O95">
        <x:v>6</x:v>
      </x:c>
      <x:c r="P95">
        <x:v>14</x:v>
      </x:c>
      <x:c r="Q95" t="s">
        <x:v>27</x:v>
      </x:c>
      <x:c r="R95" t="n">
        <x:f>IF(subscriptions[[#This Row],[churned]]="Yes",1,0)</x:f>
        <x:v>1</x:v>
      </x:c>
      <x:c r="S95" s="11" t="n">
        <x:f>IF(K95="Yes",(L95-J95)/30.4375,"")</x:f>
        <x:v>38.078028747433265</x:v>
      </x:c>
      <x:c r="T95" t="str">
        <x:f>IF(AND(K95="No",P95&lt;40,O95&lt;=4),"High Risk","")</x:f>
      </x:c>
    </x:row>
    <x:row r="96">
      <x:c r="A96" t="s">
        <x:v>153</x:v>
      </x:c>
      <x:c r="B96" t="s">
        <x:v>19</x:v>
      </x:c>
      <x:c r="C96" t="s">
        <x:v>20</x:v>
      </x:c>
      <x:c r="D96" t="s">
        <x:v>34</x:v>
      </x:c>
      <x:c r="E96" t="s">
        <x:v>40</x:v>
      </x:c>
      <x:c r="F96">
        <x:v>14</x:v>
      </x:c>
      <x:c r="G96">
        <x:v>233.05</x:v>
      </x:c>
      <x:c r="H96" t="s">
        <x:v>64</x:v>
      </x:c>
      <x:c r="I96" t="s">
        <x:v>24</x:v>
      </x:c>
      <x:c r="J96" s="1">
        <x:v>44859</x:v>
      </x:c>
      <x:c r="K96" t="s">
        <x:v>25</x:v>
      </x:c>
      <x:c r="L96" s="1">
        <x:v>45025</x:v>
      </x:c>
      <x:c r="M96" t="s">
        <x:v>57</x:v>
      </x:c>
      <x:c r="N96">
        <x:v>5</x:v>
      </x:c>
      <x:c r="O96">
        <x:v>6</x:v>
      </x:c>
      <x:c r="P96">
        <x:v>11</x:v>
      </x:c>
      <x:c r="Q96" t="s">
        <x:v>27</x:v>
      </x:c>
      <x:c r="R96" t="n">
        <x:f>IF(subscriptions[[#This Row],[churned]]="Yes",1,0)</x:f>
        <x:v>1</x:v>
      </x:c>
      <x:c r="S96" s="11" t="n">
        <x:f>IF(K96="Yes",(L96-J96)/30.4375,"")</x:f>
        <x:v>5.453798767967146</x:v>
      </x:c>
      <x:c r="T96" t="str">
        <x:f>IF(AND(K96="No",P96&lt;40,O96&lt;=4),"High Risk","")</x:f>
      </x:c>
    </x:row>
    <x:row r="97">
      <x:c r="A97" t="s">
        <x:v>154</x:v>
      </x:c>
      <x:c r="B97" t="s">
        <x:v>33</x:v>
      </x:c>
      <x:c r="C97" t="s">
        <x:v>20</x:v>
      </x:c>
      <x:c r="D97" t="s">
        <x:v>72</x:v>
      </x:c>
      <x:c r="E97" t="s">
        <x:v>40</x:v>
      </x:c>
      <x:c r="F97">
        <x:v>15</x:v>
      </x:c>
      <x:c r="G97">
        <x:v>89.9</x:v>
      </x:c>
      <x:c r="H97" t="s">
        <x:v>30</x:v>
      </x:c>
      <x:c r="I97" t="s">
        <x:v>24</x:v>
      </x:c>
      <x:c r="J97" s="1">
        <x:v>45169</x:v>
      </x:c>
      <x:c r="K97" t="s">
        <x:v>25</x:v>
      </x:c>
      <x:c r="L97" s="1">
        <x:v>45195</x:v>
      </x:c>
      <x:c r="M97" t="s">
        <x:v>26</x:v>
      </x:c>
      <x:c r="N97">
        <x:v>12</x:v>
      </x:c>
      <x:c r="O97">
        <x:v>1</x:v>
      </x:c>
      <x:c r="P97">
        <x:v>12</x:v>
      </x:c>
      <x:c r="Q97" t="s">
        <x:v>27</x:v>
      </x:c>
      <x:c r="R97" t="n">
        <x:f>IF(subscriptions[[#This Row],[churned]]="Yes",1,0)</x:f>
        <x:v>1</x:v>
      </x:c>
      <x:c r="S97" s="11" t="n">
        <x:f>IF(K97="Yes",(L97-J97)/30.4375,"")</x:f>
        <x:v>0.8542094455852156</x:v>
      </x:c>
      <x:c r="T97" t="str">
        <x:f>IF(AND(K97="No",P97&lt;40,O97&lt;=4),"High Risk","")</x:f>
      </x:c>
    </x:row>
    <x:row r="98">
      <x:c r="A98" t="s">
        <x:v>155</x:v>
      </x:c>
      <x:c r="B98" t="s">
        <x:v>75</x:v>
      </x:c>
      <x:c r="C98" t="s">
        <x:v>20</x:v>
      </x:c>
      <x:c r="D98" t="s">
        <x:v>66</x:v>
      </x:c>
      <x:c r="E98" t="s">
        <x:v>22</x:v>
      </x:c>
      <x:c r="F98">
        <x:v>31</x:v>
      </x:c>
      <x:c r="G98">
        <x:v>2744.5</x:v>
      </x:c>
      <x:c r="H98" t="s">
        <x:v>23</x:v>
      </x:c>
      <x:c r="I98" t="s">
        <x:v>24</x:v>
      </x:c>
      <x:c r="J98" s="1">
        <x:v>45215</x:v>
      </x:c>
      <x:c r="K98" t="s">
        <x:v>27</x:v>
      </x:c>
      <x:c r="M98"/>
      <x:c r="N98">
        <x:v>1</x:v>
      </x:c>
      <x:c r="O98">
        <x:v>1</x:v>
      </x:c>
      <x:c r="P98">
        <x:v>22</x:v>
      </x:c>
      <x:c r="Q98" t="s">
        <x:v>27</x:v>
      </x:c>
      <x:c r="R98" t="n">
        <x:f>IF(subscriptions[[#This Row],[churned]]="Yes",1,0)</x:f>
        <x:v>0</x:v>
      </x:c>
      <x:c r="S98" s="11" t="str">
        <x:f>IF(K98="Yes",(L98-J98)/30.4375,"")</x:f>
      </x:c>
      <x:c r="T98" t="str">
        <x:f>IF(AND(K98="No",P98&lt;40,O98&lt;=4),"High Risk","")</x:f>
        <x:v>High Risk</x:v>
      </x:c>
    </x:row>
    <x:row r="99">
      <x:c r="A99" t="s">
        <x:v>156</x:v>
      </x:c>
      <x:c r="B99" t="s">
        <x:v>19</x:v>
      </x:c>
      <x:c r="C99" t="s">
        <x:v>29</x:v>
      </x:c>
      <x:c r="D99" t="s">
        <x:v>83</x:v>
      </x:c>
      <x:c r="E99" t="s">
        <x:v>46</x:v>
      </x:c>
      <x:c r="F99">
        <x:v>8</x:v>
      </x:c>
      <x:c r="G99">
        <x:v>137.66</x:v>
      </x:c>
      <x:c r="H99" t="s">
        <x:v>23</x:v>
      </x:c>
      <x:c r="I99" t="s">
        <x:v>24</x:v>
      </x:c>
      <x:c r="J99" s="1">
        <x:v>45989</x:v>
      </x:c>
      <x:c r="K99" t="s">
        <x:v>25</x:v>
      </x:c>
      <x:c r="L99" s="1">
        <x:v>46005</x:v>
      </x:c>
      <x:c r="M99" t="s">
        <x:v>60</x:v>
      </x:c>
      <x:c r="N99">
        <x:v>10</x:v>
      </x:c>
      <x:c r="O99">
        <x:v>6</x:v>
      </x:c>
      <x:c r="P99">
        <x:v>43</x:v>
      </x:c>
      <x:c r="Q99" t="s">
        <x:v>27</x:v>
      </x:c>
      <x:c r="R99" t="n">
        <x:f>IF(subscriptions[[#This Row],[churned]]="Yes",1,0)</x:f>
        <x:v>1</x:v>
      </x:c>
      <x:c r="S99" s="11" t="n">
        <x:f>IF(K99="Yes",(L99-J99)/30.4375,"")</x:f>
        <x:v>0.5256673511293635</x:v>
      </x:c>
      <x:c r="T99" t="str">
        <x:f>IF(AND(K99="No",P99&lt;40,O99&lt;=4),"High Risk","")</x:f>
      </x:c>
    </x:row>
    <x:row r="100">
      <x:c r="A100" t="s">
        <x:v>157</x:v>
      </x:c>
      <x:c r="B100" t="s">
        <x:v>75</x:v>
      </x:c>
      <x:c r="C100" t="s">
        <x:v>20</x:v>
      </x:c>
      <x:c r="D100" t="s">
        <x:v>43</x:v>
      </x:c>
      <x:c r="E100" t="s">
        <x:v>40</x:v>
      </x:c>
      <x:c r="F100">
        <x:v>6</x:v>
      </x:c>
      <x:c r="G100">
        <x:v>873.25</x:v>
      </x:c>
      <x:c r="H100" t="s">
        <x:v>23</x:v>
      </x:c>
      <x:c r="I100" t="s">
        <x:v>59</x:v>
      </x:c>
      <x:c r="J100" s="1">
        <x:v>44792</x:v>
      </x:c>
      <x:c r="K100" t="s">
        <x:v>27</x:v>
      </x:c>
      <x:c r="M100"/>
      <x:c r="N100">
        <x:v>3</x:v>
      </x:c>
      <x:c r="O100">
        <x:v>4</x:v>
      </x:c>
      <x:c r="P100">
        <x:v>70</x:v>
      </x:c>
      <x:c r="Q100" t="s">
        <x:v>27</x:v>
      </x:c>
      <x:c r="R100" t="n">
        <x:f>IF(subscriptions[[#This Row],[churned]]="Yes",1,0)</x:f>
        <x:v>0</x:v>
      </x:c>
      <x:c r="S100" s="11" t="str">
        <x:f>IF(K100="Yes",(L100-J100)/30.4375,"")</x:f>
      </x:c>
      <x:c r="T100" t="str">
        <x:f>IF(AND(K100="No",P100&lt;40,O100&lt;=4),"High Risk","")</x:f>
      </x:c>
    </x:row>
    <x:row r="101">
      <x:c r="A101" t="s">
        <x:v>158</x:v>
      </x:c>
      <x:c r="B101" t="s">
        <x:v>38</x:v>
      </x:c>
      <x:c r="C101" t="s">
        <x:v>20</x:v>
      </x:c>
      <x:c r="D101" t="s">
        <x:v>39</x:v>
      </x:c>
      <x:c r="E101" t="s">
        <x:v>40</x:v>
      </x:c>
      <x:c r="F101">
        <x:v>17</x:v>
      </x:c>
      <x:c r="G101">
        <x:v>676.6</x:v>
      </x:c>
      <x:c r="H101" t="s">
        <x:v>64</x:v>
      </x:c>
      <x:c r="I101" t="s">
        <x:v>41</x:v>
      </x:c>
      <x:c r="J101" s="1">
        <x:v>45088</x:v>
      </x:c>
      <x:c r="K101" t="s">
        <x:v>27</x:v>
      </x:c>
      <x:c r="M101"/>
      <x:c r="N101">
        <x:v>1</x:v>
      </x:c>
      <x:c r="O101">
        <x:v>4</x:v>
      </x:c>
      <x:c r="P101">
        <x:v>17</x:v>
      </x:c>
      <x:c r="Q101" t="s">
        <x:v>27</x:v>
      </x:c>
      <x:c r="R101" t="n">
        <x:f>IF(subscriptions[[#This Row],[churned]]="Yes",1,0)</x:f>
        <x:v>0</x:v>
      </x:c>
      <x:c r="S101" s="11" t="str">
        <x:f>IF(K101="Yes",(L101-J101)/30.4375,"")</x:f>
      </x:c>
      <x:c r="T101" t="str">
        <x:f>IF(AND(K101="No",P101&lt;40,O101&lt;=4),"High Risk","")</x:f>
        <x:v>High Risk</x:v>
      </x:c>
    </x:row>
    <x:row r="102">
      <x:c r="A102" t="s">
        <x:v>159</x:v>
      </x:c>
      <x:c r="B102" t="s">
        <x:v>33</x:v>
      </x:c>
      <x:c r="C102" t="s">
        <x:v>20</x:v>
      </x:c>
      <x:c r="D102" t="s">
        <x:v>72</x:v>
      </x:c>
      <x:c r="E102" t="s">
        <x:v>46</x:v>
      </x:c>
      <x:c r="F102">
        <x:v>2</x:v>
      </x:c>
      <x:c r="G102">
        <x:v>33.35</x:v>
      </x:c>
      <x:c r="H102" t="s">
        <x:v>23</x:v>
      </x:c>
      <x:c r="I102" t="s">
        <x:v>24</x:v>
      </x:c>
      <x:c r="J102" s="1">
        <x:v>45629</x:v>
      </x:c>
      <x:c r="K102" t="s">
        <x:v>25</x:v>
      </x:c>
      <x:c r="L102" s="1">
        <x:v>45685</x:v>
      </x:c>
      <x:c r="M102" t="s">
        <x:v>60</x:v>
      </x:c>
      <x:c r="N102">
        <x:v>6</x:v>
      </x:c>
      <x:c r="O102">
        <x:v>3</x:v>
      </x:c>
      <x:c r="P102">
        <x:v>15</x:v>
      </x:c>
      <x:c r="Q102" t="s">
        <x:v>27</x:v>
      </x:c>
      <x:c r="R102" t="n">
        <x:f>IF(subscriptions[[#This Row],[churned]]="Yes",1,0)</x:f>
        <x:v>1</x:v>
      </x:c>
      <x:c r="S102" s="11" t="n">
        <x:f>IF(K102="Yes",(L102-J102)/30.4375,"")</x:f>
        <x:v>1.839835728952772</x:v>
      </x:c>
      <x:c r="T102" t="str">
        <x:f>IF(AND(K102="No",P102&lt;40,O102&lt;=4),"High Risk","")</x:f>
      </x:c>
    </x:row>
    <x:row r="103">
      <x:c r="A103" t="s">
        <x:v>160</x:v>
      </x:c>
      <x:c r="B103" t="s">
        <x:v>19</x:v>
      </x:c>
      <x:c r="C103" t="s">
        <x:v>20</x:v>
      </x:c>
      <x:c r="D103" t="s">
        <x:v>83</x:v>
      </x:c>
      <x:c r="E103" t="s">
        <x:v>35</x:v>
      </x:c>
      <x:c r="F103">
        <x:v>62</x:v>
      </x:c>
      <x:c r="G103">
        <x:v>801.85</x:v>
      </x:c>
      <x:c r="H103" t="s">
        <x:v>47</x:v>
      </x:c>
      <x:c r="I103" t="s">
        <x:v>73</x:v>
      </x:c>
      <x:c r="J103" s="1">
        <x:v>45233</x:v>
      </x:c>
      <x:c r="K103" t="s">
        <x:v>27</x:v>
      </x:c>
      <x:c r="M103"/>
      <x:c r="N103">
        <x:v>11</x:v>
      </x:c>
      <x:c r="O103">
        <x:v>7</x:v>
      </x:c>
      <x:c r="P103">
        <x:v>88</x:v>
      </x:c>
      <x:c r="Q103" t="s">
        <x:v>27</x:v>
      </x:c>
      <x:c r="R103" t="n">
        <x:f>IF(subscriptions[[#This Row],[churned]]="Yes",1,0)</x:f>
        <x:v>0</x:v>
      </x:c>
      <x:c r="S103" s="11" t="str">
        <x:f>IF(K103="Yes",(L103-J103)/30.4375,"")</x:f>
      </x:c>
      <x:c r="T103" t="str">
        <x:f>IF(AND(K103="No",P103&lt;40,O103&lt;=4),"High Risk","")</x:f>
      </x:c>
    </x:row>
    <x:row r="104">
      <x:c r="A104" t="s">
        <x:v>161</x:v>
      </x:c>
      <x:c r="B104" t="s">
        <x:v>19</x:v>
      </x:c>
      <x:c r="C104" t="s">
        <x:v>20</x:v>
      </x:c>
      <x:c r="D104" t="s">
        <x:v>83</x:v>
      </x:c>
      <x:c r="E104" t="s">
        <x:v>46</x:v>
      </x:c>
      <x:c r="F104">
        <x:v>4</x:v>
      </x:c>
      <x:c r="G104">
        <x:v>114.55</x:v>
      </x:c>
      <x:c r="H104" t="s">
        <x:v>102</x:v>
      </x:c>
      <x:c r="I104" t="s">
        <x:v>41</x:v>
      </x:c>
      <x:c r="J104" s="1">
        <x:v>45406</x:v>
      </x:c>
      <x:c r="K104" t="s">
        <x:v>27</x:v>
      </x:c>
      <x:c r="M104"/>
      <x:c r="N104">
        <x:v>0</x:v>
      </x:c>
      <x:c r="O104">
        <x:v>6</x:v>
      </x:c>
      <x:c r="P104">
        <x:v>32</x:v>
      </x:c>
      <x:c r="Q104" t="s">
        <x:v>27</x:v>
      </x:c>
      <x:c r="R104" t="n">
        <x:f>IF(subscriptions[[#This Row],[churned]]="Yes",1,0)</x:f>
        <x:v>0</x:v>
      </x:c>
      <x:c r="S104" s="11" t="str">
        <x:f>IF(K104="Yes",(L104-J104)/30.4375,"")</x:f>
      </x:c>
      <x:c r="T104" t="str">
        <x:f>IF(AND(K104="No",P104&lt;40,O104&lt;=4),"High Risk","")</x:f>
      </x:c>
    </x:row>
    <x:row r="105">
      <x:c r="A105" t="s">
        <x:v>162</x:v>
      </x:c>
      <x:c r="B105" t="s">
        <x:v>38</x:v>
      </x:c>
      <x:c r="C105" t="s">
        <x:v>20</x:v>
      </x:c>
      <x:c r="D105" t="s">
        <x:v>66</x:v>
      </x:c>
      <x:c r="E105" t="s">
        <x:v>40</x:v>
      </x:c>
      <x:c r="F105">
        <x:v>17</x:v>
      </x:c>
      <x:c r="G105">
        <x:v>676.6</x:v>
      </x:c>
      <x:c r="H105" t="s">
        <x:v>23</x:v>
      </x:c>
      <x:c r="I105" t="s">
        <x:v>41</x:v>
      </x:c>
      <x:c r="J105" s="1">
        <x:v>45626</x:v>
      </x:c>
      <x:c r="K105" t="s">
        <x:v>25</x:v>
      </x:c>
      <x:c r="L105" s="1">
        <x:v>45808</x:v>
      </x:c>
      <x:c r="M105" t="s">
        <x:v>57</x:v>
      </x:c>
      <x:c r="N105">
        <x:v>12</x:v>
      </x:c>
      <x:c r="O105">
        <x:v>1</x:v>
      </x:c>
      <x:c r="P105">
        <x:v>30</x:v>
      </x:c>
      <x:c r="Q105" t="s">
        <x:v>27</x:v>
      </x:c>
      <x:c r="R105" t="n">
        <x:f>IF(subscriptions[[#This Row],[churned]]="Yes",1,0)</x:f>
        <x:v>1</x:v>
      </x:c>
      <x:c r="S105" s="11" t="n">
        <x:f>IF(K105="Yes",(L105-J105)/30.4375,"")</x:f>
        <x:v>5.979466119096509</x:v>
      </x:c>
      <x:c r="T105" t="str">
        <x:f>IF(AND(K105="No",P105&lt;40,O105&lt;=4),"High Risk","")</x:f>
      </x:c>
    </x:row>
    <x:row r="106">
      <x:c r="A106" t="s">
        <x:v>163</x:v>
      </x:c>
      <x:c r="B106" t="s">
        <x:v>19</x:v>
      </x:c>
      <x:c r="C106" t="s">
        <x:v>20</x:v>
      </x:c>
      <x:c r="D106" t="s">
        <x:v>43</x:v>
      </x:c>
      <x:c r="E106" t="s">
        <x:v>49</x:v>
      </x:c>
      <x:c r="F106">
        <x:v>42</x:v>
      </x:c>
      <x:c r="G106">
        <x:v>564.85</x:v>
      </x:c>
      <x:c r="H106" t="s">
        <x:v>64</x:v>
      </x:c>
      <x:c r="I106" t="s">
        <x:v>73</x:v>
      </x:c>
      <x:c r="J106" s="1">
        <x:v>45281</x:v>
      </x:c>
      <x:c r="K106" t="s">
        <x:v>27</x:v>
      </x:c>
      <x:c r="M106"/>
      <x:c r="N106">
        <x:v>6</x:v>
      </x:c>
      <x:c r="O106">
        <x:v>5</x:v>
      </x:c>
      <x:c r="P106">
        <x:v>53</x:v>
      </x:c>
      <x:c r="Q106" t="s">
        <x:v>25</x:v>
      </x:c>
      <x:c r="R106" t="n">
        <x:f>IF(subscriptions[[#This Row],[churned]]="Yes",1,0)</x:f>
        <x:v>0</x:v>
      </x:c>
      <x:c r="S106" s="11" t="str">
        <x:f>IF(K106="Yes",(L106-J106)/30.4375,"")</x:f>
      </x:c>
      <x:c r="T106" t="str">
        <x:f>IF(AND(K106="No",P106&lt;40,O106&lt;=4),"High Risk","")</x:f>
      </x:c>
    </x:row>
    <x:row r="107">
      <x:c r="A107" t="s">
        <x:v>164</x:v>
      </x:c>
      <x:c r="B107" t="s">
        <x:v>33</x:v>
      </x:c>
      <x:c r="C107" t="s">
        <x:v>20</x:v>
      </x:c>
      <x:c r="D107" t="s">
        <x:v>21</x:v>
      </x:c>
      <x:c r="E107" t="s">
        <x:v>46</x:v>
      </x:c>
      <x:c r="F107">
        <x:v>1</x:v>
      </x:c>
      <x:c r="G107">
        <x:v>29</x:v>
      </x:c>
      <x:c r="H107" t="s">
        <x:v>47</x:v>
      </x:c>
      <x:c r="I107" t="s">
        <x:v>59</x:v>
      </x:c>
      <x:c r="J107" s="1">
        <x:v>45614</x:v>
      </x:c>
      <x:c r="K107" t="s">
        <x:v>25</x:v>
      </x:c>
      <x:c r="L107" s="1">
        <x:v>45712</x:v>
      </x:c>
      <x:c r="M107" t="s">
        <x:v>50</x:v>
      </x:c>
      <x:c r="N107">
        <x:v>4</x:v>
      </x:c>
      <x:c r="O107">
        <x:v>3</x:v>
      </x:c>
      <x:c r="P107">
        <x:v>20</x:v>
      </x:c>
      <x:c r="Q107" t="s">
        <x:v>27</x:v>
      </x:c>
      <x:c r="R107" t="n">
        <x:f>IF(subscriptions[[#This Row],[churned]]="Yes",1,0)</x:f>
        <x:v>1</x:v>
      </x:c>
      <x:c r="S107" s="11" t="n">
        <x:f>IF(K107="Yes",(L107-J107)/30.4375,"")</x:f>
        <x:v>3.2197125256673513</x:v>
      </x:c>
      <x:c r="T107" t="str">
        <x:f>IF(AND(K107="No",P107&lt;40,O107&lt;=4),"High Risk","")</x:f>
      </x:c>
    </x:row>
    <x:row r="108">
      <x:c r="A108" t="s">
        <x:v>165</x:v>
      </x:c>
      <x:c r="B108" t="s">
        <x:v>38</x:v>
      </x:c>
      <x:c r="C108" t="s">
        <x:v>20</x:v>
      </x:c>
      <x:c r="D108" t="s">
        <x:v>72</x:v>
      </x:c>
      <x:c r="E108" t="s">
        <x:v>35</x:v>
      </x:c>
      <x:c r="F108">
        <x:v>139</x:v>
      </x:c>
      <x:c r="G108">
        <x:v>4318.3</x:v>
      </x:c>
      <x:c r="H108" t="s">
        <x:v>47</x:v>
      </x:c>
      <x:c r="I108" t="s">
        <x:v>41</x:v>
      </x:c>
      <x:c r="J108" s="1">
        <x:v>44791</x:v>
      </x:c>
      <x:c r="K108" t="s">
        <x:v>25</x:v>
      </x:c>
      <x:c r="L108" s="1">
        <x:v>45421</x:v>
      </x:c>
      <x:c r="M108" t="s">
        <x:v>67</x:v>
      </x:c>
      <x:c r="N108">
        <x:v>11</x:v>
      </x:c>
      <x:c r="O108">
        <x:v>2</x:v>
      </x:c>
      <x:c r="P108">
        <x:v>24</x:v>
      </x:c>
      <x:c r="Q108" t="s">
        <x:v>27</x:v>
      </x:c>
      <x:c r="R108" t="n">
        <x:f>IF(subscriptions[[#This Row],[churned]]="Yes",1,0)</x:f>
        <x:v>1</x:v>
      </x:c>
      <x:c r="S108" s="11" t="n">
        <x:f>IF(K108="Yes",(L108-J108)/30.4375,"")</x:f>
        <x:v>20.698151950718685</x:v>
      </x:c>
      <x:c r="T108" t="str">
        <x:f>IF(AND(K108="No",P108&lt;40,O108&lt;=4),"High Risk","")</x:f>
      </x:c>
    </x:row>
    <x:row r="109">
      <x:c r="A109" t="s">
        <x:v>166</x:v>
      </x:c>
      <x:c r="B109" t="s">
        <x:v>38</x:v>
      </x:c>
      <x:c r="C109" t="s">
        <x:v>29</x:v>
      </x:c>
      <x:c r="D109" t="s">
        <x:v>83</x:v>
      </x:c>
      <x:c r="E109" t="s">
        <x:v>22</x:v>
      </x:c>
      <x:c r="F109">
        <x:v>30</x:v>
      </x:c>
      <x:c r="G109">
        <x:v>904.95</x:v>
      </x:c>
      <x:c r="H109" t="s">
        <x:v>23</x:v>
      </x:c>
      <x:c r="I109" t="s">
        <x:v>24</x:v>
      </x:c>
      <x:c r="J109" s="1">
        <x:v>45885</x:v>
      </x:c>
      <x:c r="K109" t="s">
        <x:v>27</x:v>
      </x:c>
      <x:c r="M109"/>
      <x:c r="N109">
        <x:v>11</x:v>
      </x:c>
      <x:c r="O109">
        <x:v>5</x:v>
      </x:c>
      <x:c r="P109">
        <x:v>48</x:v>
      </x:c>
      <x:c r="Q109" t="s">
        <x:v>27</x:v>
      </x:c>
      <x:c r="R109" t="n">
        <x:f>IF(subscriptions[[#This Row],[churned]]="Yes",1,0)</x:f>
        <x:v>0</x:v>
      </x:c>
      <x:c r="S109" s="11" t="str">
        <x:f>IF(K109="Yes",(L109-J109)/30.4375,"")</x:f>
      </x:c>
      <x:c r="T109" t="str">
        <x:f>IF(AND(K109="No",P109&lt;40,O109&lt;=4),"High Risk","")</x:f>
      </x:c>
    </x:row>
    <x:row r="110">
      <x:c r="A110" t="s">
        <x:v>167</x:v>
      </x:c>
      <x:c r="B110" t="s">
        <x:v>38</x:v>
      </x:c>
      <x:c r="C110" t="s">
        <x:v>29</x:v>
      </x:c>
      <x:c r="D110" t="s">
        <x:v>34</x:v>
      </x:c>
      <x:c r="E110" t="s">
        <x:v>22</x:v>
      </x:c>
      <x:c r="F110">
        <x:v>16</x:v>
      </x:c>
      <x:c r="G110">
        <x:v>549.74</x:v>
      </x:c>
      <x:c r="H110" t="s">
        <x:v>23</x:v>
      </x:c>
      <x:c r="I110" t="s">
        <x:v>59</x:v>
      </x:c>
      <x:c r="J110" s="1">
        <x:v>44868</x:v>
      </x:c>
      <x:c r="K110" t="s">
        <x:v>27</x:v>
      </x:c>
      <x:c r="M110"/>
      <x:c r="N110">
        <x:v>0</x:v>
      </x:c>
      <x:c r="O110">
        <x:v>9</x:v>
      </x:c>
      <x:c r="P110">
        <x:v>57</x:v>
      </x:c>
      <x:c r="Q110" t="s">
        <x:v>27</x:v>
      </x:c>
      <x:c r="R110" t="n">
        <x:f>IF(subscriptions[[#This Row],[churned]]="Yes",1,0)</x:f>
        <x:v>0</x:v>
      </x:c>
      <x:c r="S110" s="11" t="str">
        <x:f>IF(K110="Yes",(L110-J110)/30.4375,"")</x:f>
      </x:c>
      <x:c r="T110" t="str">
        <x:f>IF(AND(K110="No",P110&lt;40,O110&lt;=4),"High Risk","")</x:f>
      </x:c>
    </x:row>
    <x:row r="111">
      <x:c r="A111" t="s">
        <x:v>168</x:v>
      </x:c>
      <x:c r="B111" t="s">
        <x:v>19</x:v>
      </x:c>
      <x:c r="C111" t="s">
        <x:v>29</x:v>
      </x:c>
      <x:c r="D111" t="s">
        <x:v>21</x:v>
      </x:c>
      <x:c r="E111" t="s">
        <x:v>49</x:v>
      </x:c>
      <x:c r="F111">
        <x:v>58</x:v>
      </x:c>
      <x:c r="G111">
        <x:v>641.28</x:v>
      </x:c>
      <x:c r="H111" t="s">
        <x:v>47</x:v>
      </x:c>
      <x:c r="I111" t="s">
        <x:v>41</x:v>
      </x:c>
      <x:c r="J111" s="1">
        <x:v>45201</x:v>
      </x:c>
      <x:c r="K111" t="s">
        <x:v>25</x:v>
      </x:c>
      <x:c r="L111" s="1">
        <x:v>45778</x:v>
      </x:c>
      <x:c r="M111" t="s">
        <x:v>86</x:v>
      </x:c>
      <x:c r="N111">
        <x:v>12</x:v>
      </x:c>
      <x:c r="O111">
        <x:v>3</x:v>
      </x:c>
      <x:c r="P111">
        <x:v>38</x:v>
      </x:c>
      <x:c r="Q111" t="s">
        <x:v>27</x:v>
      </x:c>
      <x:c r="R111" t="n">
        <x:f>IF(subscriptions[[#This Row],[churned]]="Yes",1,0)</x:f>
        <x:v>1</x:v>
      </x:c>
      <x:c r="S111" s="11" t="n">
        <x:f>IF(K111="Yes",(L111-J111)/30.4375,"")</x:f>
        <x:v>18.95687885010267</x:v>
      </x:c>
      <x:c r="T111" t="str">
        <x:f>IF(AND(K111="No",P111&lt;40,O111&lt;=4),"High Risk","")</x:f>
      </x:c>
    </x:row>
    <x:row r="112">
      <x:c r="A112" t="s">
        <x:v>169</x:v>
      </x:c>
      <x:c r="B112" t="s">
        <x:v>33</x:v>
      </x:c>
      <x:c r="C112" t="s">
        <x:v>29</x:v>
      </x:c>
      <x:c r="D112" t="s">
        <x:v>83</x:v>
      </x:c>
      <x:c r="E112" t="s">
        <x:v>40</x:v>
      </x:c>
      <x:c r="F112">
        <x:v>5</x:v>
      </x:c>
      <x:c r="G112">
        <x:v>39.44</x:v>
      </x:c>
      <x:c r="H112" t="s">
        <x:v>36</x:v>
      </x:c>
      <x:c r="I112" t="s">
        <x:v>41</x:v>
      </x:c>
      <x:c r="J112" s="1">
        <x:v>44917</x:v>
      </x:c>
      <x:c r="K112" t="s">
        <x:v>25</x:v>
      </x:c>
      <x:c r="L112" s="1">
        <x:v>45242</x:v>
      </x:c>
      <x:c r="M112" t="s">
        <x:v>54</x:v>
      </x:c>
      <x:c r="N112">
        <x:v>15</x:v>
      </x:c>
      <x:c r="O112">
        <x:v>5</x:v>
      </x:c>
      <x:c r="P112">
        <x:v>29</x:v>
      </x:c>
      <x:c r="Q112" t="s">
        <x:v>27</x:v>
      </x:c>
      <x:c r="R112" t="n">
        <x:f>IF(subscriptions[[#This Row],[churned]]="Yes",1,0)</x:f>
        <x:v>1</x:v>
      </x:c>
      <x:c r="S112" s="11" t="n">
        <x:f>IF(K112="Yes",(L112-J112)/30.4375,"")</x:f>
        <x:v>10.677618069815194</x:v>
      </x:c>
      <x:c r="T112" t="str">
        <x:f>IF(AND(K112="No",P112&lt;40,O112&lt;=4),"High Risk","")</x:f>
      </x:c>
    </x:row>
    <x:row r="113">
      <x:c r="A113" t="s">
        <x:v>170</x:v>
      </x:c>
      <x:c r="B113" t="s">
        <x:v>19</x:v>
      </x:c>
      <x:c r="C113" t="s">
        <x:v>20</x:v>
      </x:c>
      <x:c r="D113" t="s">
        <x:v>34</x:v>
      </x:c>
      <x:c r="E113" t="s">
        <x:v>49</x:v>
      </x:c>
      <x:c r="F113">
        <x:v>42</x:v>
      </x:c>
      <x:c r="G113">
        <x:v>564.85</x:v>
      </x:c>
      <x:c r="H113" t="s">
        <x:v>30</x:v>
      </x:c>
      <x:c r="I113" t="s">
        <x:v>24</x:v>
      </x:c>
      <x:c r="J113" s="1">
        <x:v>44588</x:v>
      </x:c>
      <x:c r="K113" t="s">
        <x:v>25</x:v>
      </x:c>
      <x:c r="L113" s="1">
        <x:v>44688</x:v>
      </x:c>
      <x:c r="M113" t="s">
        <x:v>57</x:v>
      </x:c>
      <x:c r="N113">
        <x:v>7</x:v>
      </x:c>
      <x:c r="O113">
        <x:v>2</x:v>
      </x:c>
      <x:c r="P113">
        <x:v>40</x:v>
      </x:c>
      <x:c r="Q113" t="s">
        <x:v>27</x:v>
      </x:c>
      <x:c r="R113" t="n">
        <x:f>IF(subscriptions[[#This Row],[churned]]="Yes",1,0)</x:f>
        <x:v>1</x:v>
      </x:c>
      <x:c r="S113" s="11" t="n">
        <x:f>IF(K113="Yes",(L113-J113)/30.4375,"")</x:f>
        <x:v>3.2854209445585214</x:v>
      </x:c>
      <x:c r="T113" t="str">
        <x:f>IF(AND(K113="No",P113&lt;40,O113&lt;=4),"High Risk","")</x:f>
      </x:c>
    </x:row>
    <x:row r="114">
      <x:c r="A114" t="s">
        <x:v>171</x:v>
      </x:c>
      <x:c r="B114" t="s">
        <x:v>38</x:v>
      </x:c>
      <x:c r="C114" t="s">
        <x:v>20</x:v>
      </x:c>
      <x:c r="D114" t="s">
        <x:v>83</x:v>
      </x:c>
      <x:c r="E114" t="s">
        <x:v>40</x:v>
      </x:c>
      <x:c r="F114">
        <x:v>20</x:v>
      </x:c>
      <x:c r="G114">
        <x:v>766.15</x:v>
      </x:c>
      <x:c r="H114" t="s">
        <x:v>47</x:v>
      </x:c>
      <x:c r="I114" t="s">
        <x:v>24</x:v>
      </x:c>
      <x:c r="J114" s="1">
        <x:v>45087</x:v>
      </x:c>
      <x:c r="K114" t="s">
        <x:v>25</x:v>
      </x:c>
      <x:c r="L114" s="1">
        <x:v>45230</x:v>
      </x:c>
      <x:c r="M114" t="s">
        <x:v>60</x:v>
      </x:c>
      <x:c r="N114">
        <x:v>3</x:v>
      </x:c>
      <x:c r="O114">
        <x:v>4</x:v>
      </x:c>
      <x:c r="P114">
        <x:v>22</x:v>
      </x:c>
      <x:c r="Q114" t="s">
        <x:v>27</x:v>
      </x:c>
      <x:c r="R114" t="n">
        <x:f>IF(subscriptions[[#This Row],[churned]]="Yes",1,0)</x:f>
        <x:v>1</x:v>
      </x:c>
      <x:c r="S114" s="11" t="n">
        <x:f>IF(K114="Yes",(L114-J114)/30.4375,"")</x:f>
        <x:v>4.698151950718686</x:v>
      </x:c>
      <x:c r="T114" t="str">
        <x:f>IF(AND(K114="No",P114&lt;40,O114&lt;=4),"High Risk","")</x:f>
      </x:c>
    </x:row>
    <x:row r="115">
      <x:c r="A115" t="s">
        <x:v>172</x:v>
      </x:c>
      <x:c r="B115" t="s">
        <x:v>33</x:v>
      </x:c>
      <x:c r="C115" t="s">
        <x:v>20</x:v>
      </x:c>
      <x:c r="D115" t="s">
        <x:v>45</x:v>
      </x:c>
      <x:c r="E115" t="s">
        <x:v>35</x:v>
      </x:c>
      <x:c r="F115">
        <x:v>235</x:v>
      </x:c>
      <x:c r="G115">
        <x:v>1046.9000000000001</x:v>
      </x:c>
      <x:c r="H115" t="s">
        <x:v>47</x:v>
      </x:c>
      <x:c r="I115" t="s">
        <x:v>59</x:v>
      </x:c>
      <x:c r="J115" s="1">
        <x:v>44718</x:v>
      </x:c>
      <x:c r="K115" t="s">
        <x:v>25</x:v>
      </x:c>
      <x:c r="L115" s="1">
        <x:v>44731</x:v>
      </x:c>
      <x:c r="M115" t="s">
        <x:v>60</x:v>
      </x:c>
      <x:c r="N115">
        <x:v>11</x:v>
      </x:c>
      <x:c r="O115">
        <x:v>1</x:v>
      </x:c>
      <x:c r="P115">
        <x:v>23</x:v>
      </x:c>
      <x:c r="Q115" t="s">
        <x:v>27</x:v>
      </x:c>
      <x:c r="R115" t="n">
        <x:f>IF(subscriptions[[#This Row],[churned]]="Yes",1,0)</x:f>
        <x:v>1</x:v>
      </x:c>
      <x:c r="S115" s="11" t="n">
        <x:f>IF(K115="Yes",(L115-J115)/30.4375,"")</x:f>
        <x:v>0.4271047227926078</x:v>
      </x:c>
      <x:c r="T115" t="str">
        <x:f>IF(AND(K115="No",P115&lt;40,O115&lt;=4),"High Risk","")</x:f>
      </x:c>
    </x:row>
    <x:row r="116">
      <x:c r="A116" t="s">
        <x:v>173</x:v>
      </x:c>
      <x:c r="B116" t="s">
        <x:v>33</x:v>
      </x:c>
      <x:c r="C116" t="s">
        <x:v>29</x:v>
      </x:c>
      <x:c r="D116" t="s">
        <x:v>72</x:v>
      </x:c>
      <x:c r="E116" t="s">
        <x:v>49</x:v>
      </x:c>
      <x:c r="F116">
        <x:v>31</x:v>
      </x:c>
      <x:c r="G116">
        <x:v>135.57</x:v>
      </x:c>
      <x:c r="H116" t="s">
        <x:v>23</x:v>
      </x:c>
      <x:c r="I116" t="s">
        <x:v>73</x:v>
      </x:c>
      <x:c r="J116" s="1">
        <x:v>45532</x:v>
      </x:c>
      <x:c r="K116" t="s">
        <x:v>27</x:v>
      </x:c>
      <x:c r="M116"/>
      <x:c r="N116">
        <x:v>0</x:v>
      </x:c>
      <x:c r="O116">
        <x:v>5</x:v>
      </x:c>
      <x:c r="P116">
        <x:v>75</x:v>
      </x:c>
      <x:c r="Q116" t="s">
        <x:v>27</x:v>
      </x:c>
      <x:c r="R116" t="n">
        <x:f>IF(subscriptions[[#This Row],[churned]]="Yes",1,0)</x:f>
        <x:v>0</x:v>
      </x:c>
      <x:c r="S116" s="11" t="str">
        <x:f>IF(K116="Yes",(L116-J116)/30.4375,"")</x:f>
      </x:c>
      <x:c r="T116" t="str">
        <x:f>IF(AND(K116="No",P116&lt;40,O116&lt;=4),"High Risk","")</x:f>
      </x:c>
    </x:row>
    <x:row r="117">
      <x:c r="A117" t="s">
        <x:v>174</x:v>
      </x:c>
      <x:c r="B117" t="s">
        <x:v>19</x:v>
      </x:c>
      <x:c r="C117" t="s">
        <x:v>20</x:v>
      </x:c>
      <x:c r="D117" t="s">
        <x:v>45</x:v>
      </x:c>
      <x:c r="E117" t="s">
        <x:v>22</x:v>
      </x:c>
      <x:c r="F117">
        <x:v>16</x:v>
      </x:c>
      <x:c r="G117">
        <x:v>256.75</x:v>
      </x:c>
      <x:c r="H117" t="s">
        <x:v>23</x:v>
      </x:c>
      <x:c r="I117" t="s">
        <x:v>24</x:v>
      </x:c>
      <x:c r="J117" s="1">
        <x:v>45903</x:v>
      </x:c>
      <x:c r="K117" t="s">
        <x:v>27</x:v>
      </x:c>
      <x:c r="M117"/>
      <x:c r="N117">
        <x:v>0</x:v>
      </x:c>
      <x:c r="O117">
        <x:v>2</x:v>
      </x:c>
      <x:c r="P117">
        <x:v>25</x:v>
      </x:c>
      <x:c r="Q117" t="s">
        <x:v>27</x:v>
      </x:c>
      <x:c r="R117" t="n">
        <x:f>IF(subscriptions[[#This Row],[churned]]="Yes",1,0)</x:f>
        <x:v>0</x:v>
      </x:c>
      <x:c r="S117" s="11" t="str">
        <x:f>IF(K117="Yes",(L117-J117)/30.4375,"")</x:f>
      </x:c>
      <x:c r="T117" t="str">
        <x:f>IF(AND(K117="No",P117&lt;40,O117&lt;=4),"High Risk","")</x:f>
        <x:v>High Risk</x:v>
      </x:c>
    </x:row>
    <x:row r="118">
      <x:c r="A118" t="s">
        <x:v>175</x:v>
      </x:c>
      <x:c r="B118" t="s">
        <x:v>19</x:v>
      </x:c>
      <x:c r="C118" t="s">
        <x:v>29</x:v>
      </x:c>
      <x:c r="D118" t="s">
        <x:v>53</x:v>
      </x:c>
      <x:c r="E118" t="s">
        <x:v>22</x:v>
      </x:c>
      <x:c r="F118">
        <x:v>25</x:v>
      </x:c>
      <x:c r="G118">
        <x:v>308.89</x:v>
      </x:c>
      <x:c r="H118" t="s">
        <x:v>64</x:v>
      </x:c>
      <x:c r="I118" t="s">
        <x:v>59</x:v>
      </x:c>
      <x:c r="J118" s="1">
        <x:v>45364</x:v>
      </x:c>
      <x:c r="K118" t="s">
        <x:v>25</x:v>
      </x:c>
      <x:c r="L118" s="1">
        <x:v>45822</x:v>
      </x:c>
      <x:c r="M118" t="s">
        <x:v>57</x:v>
      </x:c>
      <x:c r="N118">
        <x:v>0</x:v>
      </x:c>
      <x:c r="O118">
        <x:v>2</x:v>
      </x:c>
      <x:c r="P118">
        <x:v>28</x:v>
      </x:c>
      <x:c r="Q118" t="s">
        <x:v>27</x:v>
      </x:c>
      <x:c r="R118" t="n">
        <x:f>IF(subscriptions[[#This Row],[churned]]="Yes",1,0)</x:f>
        <x:v>1</x:v>
      </x:c>
      <x:c r="S118" s="11" t="n">
        <x:f>IF(K118="Yes",(L118-J118)/30.4375,"")</x:f>
        <x:v>15.047227926078028</x:v>
      </x:c>
      <x:c r="T118" t="str">
        <x:f>IF(AND(K118="No",P118&lt;40,O118&lt;=4),"High Risk","")</x:f>
      </x:c>
    </x:row>
    <x:row r="119">
      <x:c r="A119" t="s">
        <x:v>176</x:v>
      </x:c>
      <x:c r="B119" t="s">
        <x:v>19</x:v>
      </x:c>
      <x:c r="C119" t="s">
        <x:v>20</x:v>
      </x:c>
      <x:c r="D119" t="s">
        <x:v>43</x:v>
      </x:c>
      <x:c r="E119" t="s">
        <x:v>40</x:v>
      </x:c>
      <x:c r="F119">
        <x:v>17</x:v>
      </x:c>
      <x:c r="G119">
        <x:v>268.60000000000002</x:v>
      </x:c>
      <x:c r="H119" t="s">
        <x:v>36</x:v>
      </x:c>
      <x:c r="I119" t="s">
        <x:v>41</x:v>
      </x:c>
      <x:c r="J119" s="1">
        <x:v>45657</x:v>
      </x:c>
      <x:c r="K119" t="s">
        <x:v>25</x:v>
      </x:c>
      <x:c r="L119" s="1">
        <x:v>45730</x:v>
      </x:c>
      <x:c r="M119" t="s">
        <x:v>67</x:v>
      </x:c>
      <x:c r="N119">
        <x:v>0</x:v>
      </x:c>
      <x:c r="O119">
        <x:v>5</x:v>
      </x:c>
      <x:c r="P119">
        <x:v>25</x:v>
      </x:c>
      <x:c r="Q119" t="s">
        <x:v>27</x:v>
      </x:c>
      <x:c r="R119" t="n">
        <x:f>IF(subscriptions[[#This Row],[churned]]="Yes",1,0)</x:f>
        <x:v>1</x:v>
      </x:c>
      <x:c r="S119" s="11" t="n">
        <x:f>IF(K119="Yes",(L119-J119)/30.4375,"")</x:f>
        <x:v>2.3983572895277208</x:v>
      </x:c>
      <x:c r="T119" t="str">
        <x:f>IF(AND(K119="No",P119&lt;40,O119&lt;=4),"High Risk","")</x:f>
      </x:c>
    </x:row>
    <x:row r="120">
      <x:c r="A120" t="s">
        <x:v>177</x:v>
      </x:c>
      <x:c r="B120" t="s">
        <x:v>19</x:v>
      </x:c>
      <x:c r="C120" t="s">
        <x:v>20</x:v>
      </x:c>
      <x:c r="D120" t="s">
        <x:v>66</x:v>
      </x:c>
      <x:c r="E120" t="s">
        <x:v>40</x:v>
      </x:c>
      <x:c r="F120">
        <x:v>28</x:v>
      </x:c>
      <x:c r="G120">
        <x:v>398.95</x:v>
      </x:c>
      <x:c r="H120" t="s">
        <x:v>23</x:v>
      </x:c>
      <x:c r="I120" t="s">
        <x:v>24</x:v>
      </x:c>
      <x:c r="J120" s="1">
        <x:v>44866</x:v>
      </x:c>
      <x:c r="K120" t="s">
        <x:v>27</x:v>
      </x:c>
      <x:c r="M120"/>
      <x:c r="N120">
        <x:v>9</x:v>
      </x:c>
      <x:c r="O120">
        <x:v>8</x:v>
      </x:c>
      <x:c r="P120">
        <x:v>44</x:v>
      </x:c>
      <x:c r="Q120" t="s">
        <x:v>27</x:v>
      </x:c>
      <x:c r="R120" t="n">
        <x:f>IF(subscriptions[[#This Row],[churned]]="Yes",1,0)</x:f>
        <x:v>0</x:v>
      </x:c>
      <x:c r="S120" s="11" t="str">
        <x:f>IF(K120="Yes",(L120-J120)/30.4375,"")</x:f>
      </x:c>
      <x:c r="T120" t="str">
        <x:f>IF(AND(K120="No",P120&lt;40,O120&lt;=4),"High Risk","")</x:f>
      </x:c>
    </x:row>
    <x:row r="121">
      <x:c r="A121" t="s">
        <x:v>178</x:v>
      </x:c>
      <x:c r="B121" t="s">
        <x:v>19</x:v>
      </x:c>
      <x:c r="C121" t="s">
        <x:v>29</x:v>
      </x:c>
      <x:c r="D121" t="s">
        <x:v>34</x:v>
      </x:c>
      <x:c r="E121" t="s">
        <x:v>46</x:v>
      </x:c>
      <x:c r="F121">
        <x:v>2</x:v>
      </x:c>
      <x:c r="G121">
        <x:v>77.22</x:v>
      </x:c>
      <x:c r="H121" t="s">
        <x:v>36</x:v>
      </x:c>
      <x:c r="I121" t="s">
        <x:v>24</x:v>
      </x:c>
      <x:c r="J121" s="1">
        <x:v>44646</x:v>
      </x:c>
      <x:c r="K121" t="s">
        <x:v>27</x:v>
      </x:c>
      <x:c r="M121"/>
      <x:c r="N121">
        <x:v>3</x:v>
      </x:c>
      <x:c r="O121">
        <x:v>4</x:v>
      </x:c>
      <x:c r="P121">
        <x:v>22</x:v>
      </x:c>
      <x:c r="Q121" t="s">
        <x:v>27</x:v>
      </x:c>
      <x:c r="R121" t="n">
        <x:f>IF(subscriptions[[#This Row],[churned]]="Yes",1,0)</x:f>
        <x:v>0</x:v>
      </x:c>
      <x:c r="S121" s="11" t="str">
        <x:f>IF(K121="Yes",(L121-J121)/30.4375,"")</x:f>
      </x:c>
      <x:c r="T121" t="str">
        <x:f>IF(AND(K121="No",P121&lt;40,O121&lt;=4),"High Risk","")</x:f>
        <x:v>High Risk</x:v>
      </x:c>
    </x:row>
    <x:row r="122">
      <x:c r="A122" t="s">
        <x:v>179</x:v>
      </x:c>
      <x:c r="B122" t="s">
        <x:v>33</x:v>
      </x:c>
      <x:c r="C122" t="s">
        <x:v>29</x:v>
      </x:c>
      <x:c r="D122" t="s">
        <x:v>53</x:v>
      </x:c>
      <x:c r="E122" t="s">
        <x:v>40</x:v>
      </x:c>
      <x:c r="F122">
        <x:v>32</x:v>
      </x:c>
      <x:c r="G122">
        <x:v>139.27000000000001</x:v>
      </x:c>
      <x:c r="H122" t="s">
        <x:v>23</x:v>
      </x:c>
      <x:c r="I122" t="s">
        <x:v>24</x:v>
      </x:c>
      <x:c r="J122" s="1">
        <x:v>45856</x:v>
      </x:c>
      <x:c r="K122" t="s">
        <x:v>27</x:v>
      </x:c>
      <x:c r="M122"/>
      <x:c r="N122">
        <x:v>6</x:v>
      </x:c>
      <x:c r="O122">
        <x:v>2</x:v>
      </x:c>
      <x:c r="P122">
        <x:v>81</x:v>
      </x:c>
      <x:c r="Q122" t="s">
        <x:v>27</x:v>
      </x:c>
      <x:c r="R122" t="n">
        <x:f>IF(subscriptions[[#This Row],[churned]]="Yes",1,0)</x:f>
        <x:v>0</x:v>
      </x:c>
      <x:c r="S122" s="11" t="str">
        <x:f>IF(K122="Yes",(L122-J122)/30.4375,"")</x:f>
      </x:c>
      <x:c r="T122" t="str">
        <x:f>IF(AND(K122="No",P122&lt;40,O122&lt;=4),"High Risk","")</x:f>
      </x:c>
    </x:row>
    <x:row r="123">
      <x:c r="A123" t="s">
        <x:v>180</x:v>
      </x:c>
      <x:c r="B123" t="s">
        <x:v>38</x:v>
      </x:c>
      <x:c r="C123" t="s">
        <x:v>20</x:v>
      </x:c>
      <x:c r="D123" t="s">
        <x:v>43</x:v>
      </x:c>
      <x:c r="E123" t="s">
        <x:v>22</x:v>
      </x:c>
      <x:c r="F123">
        <x:v>72</x:v>
      </x:c>
      <x:c r="G123">
        <x:v>2318.35</x:v>
      </x:c>
      <x:c r="H123" t="s">
        <x:v>64</x:v>
      </x:c>
      <x:c r="I123" t="s">
        <x:v>24</x:v>
      </x:c>
      <x:c r="J123" s="1">
        <x:v>45480</x:v>
      </x:c>
      <x:c r="K123" t="s">
        <x:v>27</x:v>
      </x:c>
      <x:c r="M123"/>
      <x:c r="N123">
        <x:v>4</x:v>
      </x:c>
      <x:c r="O123">
        <x:v>7</x:v>
      </x:c>
      <x:c r="P123">
        <x:v>50</x:v>
      </x:c>
      <x:c r="Q123" t="s">
        <x:v>25</x:v>
      </x:c>
      <x:c r="R123" t="n">
        <x:f>IF(subscriptions[[#This Row],[churned]]="Yes",1,0)</x:f>
        <x:v>0</x:v>
      </x:c>
      <x:c r="S123" s="11" t="str">
        <x:f>IF(K123="Yes",(L123-J123)/30.4375,"")</x:f>
      </x:c>
      <x:c r="T123" t="str">
        <x:f>IF(AND(K123="No",P123&lt;40,O123&lt;=4),"High Risk","")</x:f>
      </x:c>
    </x:row>
    <x:row r="124">
      <x:c r="A124" t="s">
        <x:v>181</x:v>
      </x:c>
      <x:c r="B124" t="s">
        <x:v>33</x:v>
      </x:c>
      <x:c r="C124" t="s">
        <x:v>29</x:v>
      </x:c>
      <x:c r="D124" t="s">
        <x:v>56</x:v>
      </x:c>
      <x:c r="E124" t="s">
        <x:v>22</x:v>
      </x:c>
      <x:c r="F124">
        <x:v>26</x:v>
      </x:c>
      <x:c r="G124">
        <x:v>117.09</x:v>
      </x:c>
      <x:c r="H124" t="s">
        <x:v>23</x:v>
      </x:c>
      <x:c r="I124" t="s">
        <x:v>59</x:v>
      </x:c>
      <x:c r="J124" s="1">
        <x:v>45486</x:v>
      </x:c>
      <x:c r="K124" t="s">
        <x:v>27</x:v>
      </x:c>
      <x:c r="M124"/>
      <x:c r="N124">
        <x:v>4</x:v>
      </x:c>
      <x:c r="O124">
        <x:v>4</x:v>
      </x:c>
      <x:c r="P124">
        <x:v>48</x:v>
      </x:c>
      <x:c r="Q124" t="s">
        <x:v>27</x:v>
      </x:c>
      <x:c r="R124" t="n">
        <x:f>IF(subscriptions[[#This Row],[churned]]="Yes",1,0)</x:f>
        <x:v>0</x:v>
      </x:c>
      <x:c r="S124" s="11" t="str">
        <x:f>IF(K124="Yes",(L124-J124)/30.4375,"")</x:f>
      </x:c>
      <x:c r="T124" t="str">
        <x:f>IF(AND(K124="No",P124&lt;40,O124&lt;=4),"High Risk","")</x:f>
      </x:c>
    </x:row>
    <x:row r="125">
      <x:c r="A125" t="s">
        <x:v>182</x:v>
      </x:c>
      <x:c r="B125" t="s">
        <x:v>19</x:v>
      </x:c>
      <x:c r="C125" t="s">
        <x:v>20</x:v>
      </x:c>
      <x:c r="D125" t="s">
        <x:v>72</x:v>
      </x:c>
      <x:c r="E125" t="s">
        <x:v>22</x:v>
      </x:c>
      <x:c r="F125">
        <x:v>71</x:v>
      </x:c>
      <x:c r="G125">
        <x:v>908.5</x:v>
      </x:c>
      <x:c r="H125" t="s">
        <x:v>47</x:v>
      </x:c>
      <x:c r="I125" t="s">
        <x:v>24</x:v>
      </x:c>
      <x:c r="J125" s="1">
        <x:v>44910</x:v>
      </x:c>
      <x:c r="K125" t="s">
        <x:v>27</x:v>
      </x:c>
      <x:c r="M125"/>
      <x:c r="N125">
        <x:v>2</x:v>
      </x:c>
      <x:c r="O125">
        <x:v>5</x:v>
      </x:c>
      <x:c r="P125">
        <x:v>31</x:v>
      </x:c>
      <x:c r="Q125" t="s">
        <x:v>27</x:v>
      </x:c>
      <x:c r="R125" t="n">
        <x:f>IF(subscriptions[[#This Row],[churned]]="Yes",1,0)</x:f>
        <x:v>0</x:v>
      </x:c>
      <x:c r="S125" s="11" t="str">
        <x:f>IF(K125="Yes",(L125-J125)/30.4375,"")</x:f>
      </x:c>
      <x:c r="T125" t="str">
        <x:f>IF(AND(K125="No",P125&lt;40,O125&lt;=4),"High Risk","")</x:f>
      </x:c>
    </x:row>
    <x:row r="126">
      <x:c r="A126" t="s">
        <x:v>183</x:v>
      </x:c>
      <x:c r="B126" t="s">
        <x:v>38</x:v>
      </x:c>
      <x:c r="C126" t="s">
        <x:v>29</x:v>
      </x:c>
      <x:c r="D126" t="s">
        <x:v>72</x:v>
      </x:c>
      <x:c r="E126" t="s">
        <x:v>46</x:v>
      </x:c>
      <x:c r="F126">
        <x:v>4</x:v>
      </x:c>
      <x:c r="G126">
        <x:v>245.27</x:v>
      </x:c>
      <x:c r="H126" t="s">
        <x:v>64</x:v>
      </x:c>
      <x:c r="I126" t="s">
        <x:v>41</x:v>
      </x:c>
      <x:c r="J126" s="1">
        <x:v>45728</x:v>
      </x:c>
      <x:c r="K126" t="s">
        <x:v>27</x:v>
      </x:c>
      <x:c r="M126"/>
      <x:c r="N126">
        <x:v>11</x:v>
      </x:c>
      <x:c r="O126">
        <x:v>6</x:v>
      </x:c>
      <x:c r="P126">
        <x:v>36</x:v>
      </x:c>
      <x:c r="Q126" t="s">
        <x:v>25</x:v>
      </x:c>
      <x:c r="R126" t="n">
        <x:f>IF(subscriptions[[#This Row],[churned]]="Yes",1,0)</x:f>
        <x:v>0</x:v>
      </x:c>
      <x:c r="S126" s="11" t="str">
        <x:f>IF(K126="Yes",(L126-J126)/30.4375,"")</x:f>
      </x:c>
      <x:c r="T126" t="str">
        <x:f>IF(AND(K126="No",P126&lt;40,O126&lt;=4),"High Risk","")</x:f>
      </x:c>
    </x:row>
    <x:row r="127">
      <x:c r="A127" t="s">
        <x:v>184</x:v>
      </x:c>
      <x:c r="B127" t="s">
        <x:v>19</x:v>
      </x:c>
      <x:c r="C127" t="s">
        <x:v>20</x:v>
      </x:c>
      <x:c r="D127" t="s">
        <x:v>56</x:v>
      </x:c>
      <x:c r="E127" t="s">
        <x:v>40</x:v>
      </x:c>
      <x:c r="F127">
        <x:v>20</x:v>
      </x:c>
      <x:c r="G127">
        <x:v>304.14999999999998</x:v>
      </x:c>
      <x:c r="H127" t="s">
        <x:v>23</x:v>
      </x:c>
      <x:c r="I127" t="s">
        <x:v>24</x:v>
      </x:c>
      <x:c r="J127" s="1">
        <x:v>45091</x:v>
      </x:c>
      <x:c r="K127" t="s">
        <x:v>27</x:v>
      </x:c>
      <x:c r="M127"/>
      <x:c r="N127">
        <x:v>1</x:v>
      </x:c>
      <x:c r="O127">
        <x:v>5</x:v>
      </x:c>
      <x:c r="P127">
        <x:v>40</x:v>
      </x:c>
      <x:c r="Q127" t="s">
        <x:v>25</x:v>
      </x:c>
      <x:c r="R127" t="n">
        <x:f>IF(subscriptions[[#This Row],[churned]]="Yes",1,0)</x:f>
        <x:v>0</x:v>
      </x:c>
      <x:c r="S127" s="11" t="str">
        <x:f>IF(K127="Yes",(L127-J127)/30.4375,"")</x:f>
      </x:c>
      <x:c r="T127" t="str">
        <x:f>IF(AND(K127="No",P127&lt;40,O127&lt;=4),"High Risk","")</x:f>
      </x:c>
    </x:row>
    <x:row r="128">
      <x:c r="A128" t="s">
        <x:v>185</x:v>
      </x:c>
      <x:c r="B128" t="s">
        <x:v>33</x:v>
      </x:c>
      <x:c r="C128" t="s">
        <x:v>20</x:v>
      </x:c>
      <x:c r="D128" t="s">
        <x:v>83</x:v>
      </x:c>
      <x:c r="E128" t="s">
        <x:v>40</x:v>
      </x:c>
      <x:c r="F128">
        <x:v>27</x:v>
      </x:c>
      <x:c r="G128">
        <x:v>142.1</x:v>
      </x:c>
      <x:c r="H128" t="s">
        <x:v>64</x:v>
      </x:c>
      <x:c r="I128" t="s">
        <x:v>24</x:v>
      </x:c>
      <x:c r="J128" s="1">
        <x:v>45636</x:v>
      </x:c>
      <x:c r="K128" t="s">
        <x:v>25</x:v>
      </x:c>
      <x:c r="L128" s="1">
        <x:v>45672</x:v>
      </x:c>
      <x:c r="M128" t="s">
        <x:v>60</x:v>
      </x:c>
      <x:c r="N128">
        <x:v>3</x:v>
      </x:c>
      <x:c r="O128">
        <x:v>3</x:v>
      </x:c>
      <x:c r="P128">
        <x:v>38</x:v>
      </x:c>
      <x:c r="Q128" t="s">
        <x:v>27</x:v>
      </x:c>
      <x:c r="R128" t="n">
        <x:f>IF(subscriptions[[#This Row],[churned]]="Yes",1,0)</x:f>
        <x:v>1</x:v>
      </x:c>
      <x:c r="S128" s="11" t="n">
        <x:f>IF(K128="Yes",(L128-J128)/30.4375,"")</x:f>
        <x:v>1.1827515400410678</x:v>
      </x:c>
      <x:c r="T128" t="str">
        <x:f>IF(AND(K128="No",P128&lt;40,O128&lt;=4),"High Risk","")</x:f>
      </x:c>
    </x:row>
    <x:row r="129">
      <x:c r="A129" t="s">
        <x:v>186</x:v>
      </x:c>
      <x:c r="B129" t="s">
        <x:v>33</x:v>
      </x:c>
      <x:c r="C129" t="s">
        <x:v>20</x:v>
      </x:c>
      <x:c r="D129" t="s">
        <x:v>21</x:v>
      </x:c>
      <x:c r="E129" t="s">
        <x:v>49</x:v>
      </x:c>
      <x:c r="F129">
        <x:v>46</x:v>
      </x:c>
      <x:c r="G129">
        <x:v>224.75</x:v>
      </x:c>
      <x:c r="H129" t="s">
        <x:v>64</x:v>
      </x:c>
      <x:c r="I129" t="s">
        <x:v>59</x:v>
      </x:c>
      <x:c r="J129" s="1">
        <x:v>44925</x:v>
      </x:c>
      <x:c r="K129" t="s">
        <x:v>25</x:v>
      </x:c>
      <x:c r="L129" s="1">
        <x:v>45040</x:v>
      </x:c>
      <x:c r="M129" t="s">
        <x:v>67</x:v>
      </x:c>
      <x:c r="N129">
        <x:v>10</x:v>
      </x:c>
      <x:c r="O129">
        <x:v>2</x:v>
      </x:c>
      <x:c r="P129">
        <x:v>33</x:v>
      </x:c>
      <x:c r="Q129" t="s">
        <x:v>27</x:v>
      </x:c>
      <x:c r="R129" t="n">
        <x:f>IF(subscriptions[[#This Row],[churned]]="Yes",1,0)</x:f>
        <x:v>1</x:v>
      </x:c>
      <x:c r="S129" s="11" t="n">
        <x:f>IF(K129="Yes",(L129-J129)/30.4375,"")</x:f>
        <x:v>3.7782340862423</x:v>
      </x:c>
      <x:c r="T129" t="str">
        <x:f>IF(AND(K129="No",P129&lt;40,O129&lt;=4),"High Risk","")</x:f>
      </x:c>
    </x:row>
    <x:row r="130">
      <x:c r="A130" t="s">
        <x:v>187</x:v>
      </x:c>
      <x:c r="B130" t="s">
        <x:v>33</x:v>
      </x:c>
      <x:c r="C130" t="s">
        <x:v>20</x:v>
      </x:c>
      <x:c r="D130" t="s">
        <x:v>34</x:v>
      </x:c>
      <x:c r="E130" t="s">
        <x:v>22</x:v>
      </x:c>
      <x:c r="F130">
        <x:v>31</x:v>
      </x:c>
      <x:c r="G130">
        <x:v>159.5</x:v>
      </x:c>
      <x:c r="H130" t="s">
        <x:v>47</x:v>
      </x:c>
      <x:c r="I130" t="s">
        <x:v>24</x:v>
      </x:c>
      <x:c r="J130" s="1">
        <x:v>44797</x:v>
      </x:c>
      <x:c r="K130" t="s">
        <x:v>25</x:v>
      </x:c>
      <x:c r="L130" s="1">
        <x:v>44831</x:v>
      </x:c>
      <x:c r="M130" t="s">
        <x:v>86</x:v>
      </x:c>
      <x:c r="N130">
        <x:v>10</x:v>
      </x:c>
      <x:c r="O130">
        <x:v>4</x:v>
      </x:c>
      <x:c r="P130">
        <x:v>22</x:v>
      </x:c>
      <x:c r="Q130" t="s">
        <x:v>27</x:v>
      </x:c>
      <x:c r="R130" t="n">
        <x:f>IF(subscriptions[[#This Row],[churned]]="Yes",1,0)</x:f>
        <x:v>1</x:v>
      </x:c>
      <x:c r="S130" s="11" t="n">
        <x:f>IF(K130="Yes",(L130-J130)/30.4375,"")</x:f>
        <x:v>1.1170431211498972</x:v>
      </x:c>
      <x:c r="T130" t="str">
        <x:f>IF(AND(K130="No",P130&lt;40,O130&lt;=4),"High Risk","")</x:f>
      </x:c>
    </x:row>
    <x:row r="131">
      <x:c r="A131" t="s">
        <x:v>188</x:v>
      </x:c>
      <x:c r="B131" t="s">
        <x:v>19</x:v>
      </x:c>
      <x:c r="C131" t="s">
        <x:v>20</x:v>
      </x:c>
      <x:c r="D131" t="s">
        <x:v>43</x:v>
      </x:c>
      <x:c r="E131" t="s">
        <x:v>46</x:v>
      </x:c>
      <x:c r="F131">
        <x:v>8</x:v>
      </x:c>
      <x:c r="G131">
        <x:v>161.94999999999999</x:v>
      </x:c>
      <x:c r="H131" t="s">
        <x:v>23</x:v>
      </x:c>
      <x:c r="I131" t="s">
        <x:v>73</x:v>
      </x:c>
      <x:c r="J131" s="1">
        <x:v>45842</x:v>
      </x:c>
      <x:c r="K131" t="s">
        <x:v>27</x:v>
      </x:c>
      <x:c r="M131"/>
      <x:c r="N131">
        <x:v>6</x:v>
      </x:c>
      <x:c r="O131">
        <x:v>1</x:v>
      </x:c>
      <x:c r="P131">
        <x:v>68</x:v>
      </x:c>
      <x:c r="Q131" t="s">
        <x:v>27</x:v>
      </x:c>
      <x:c r="R131" t="n">
        <x:f>IF(subscriptions[[#This Row],[churned]]="Yes",1,0)</x:f>
        <x:v>0</x:v>
      </x:c>
      <x:c r="S131" s="11" t="str">
        <x:f>IF(K131="Yes",(L131-J131)/30.4375,"")</x:f>
      </x:c>
      <x:c r="T131" t="str">
        <x:f>IF(AND(K131="No",P131&lt;40,O131&lt;=4),"High Risk","")</x:f>
      </x:c>
    </x:row>
    <x:row r="132">
      <x:c r="A132" t="s">
        <x:v>189</x:v>
      </x:c>
      <x:c r="B132" t="s">
        <x:v>38</x:v>
      </x:c>
      <x:c r="C132" t="s">
        <x:v>29</x:v>
      </x:c>
      <x:c r="D132" t="s">
        <x:v>72</x:v>
      </x:c>
      <x:c r="E132" t="s">
        <x:v>40</x:v>
      </x:c>
      <x:c r="F132">
        <x:v>6</x:v>
      </x:c>
      <x:c r="G132">
        <x:v>296.01</x:v>
      </x:c>
      <x:c r="H132" t="s">
        <x:v>36</x:v>
      </x:c>
      <x:c r="I132" t="s">
        <x:v>73</x:v>
      </x:c>
      <x:c r="J132" s="1">
        <x:v>45659</x:v>
      </x:c>
      <x:c r="K132" t="s">
        <x:v>27</x:v>
      </x:c>
      <x:c r="M132"/>
      <x:c r="N132">
        <x:v>11</x:v>
      </x:c>
      <x:c r="O132">
        <x:v>9</x:v>
      </x:c>
      <x:c r="P132">
        <x:v>36</x:v>
      </x:c>
      <x:c r="Q132" t="s">
        <x:v>27</x:v>
      </x:c>
      <x:c r="R132" t="n">
        <x:f>IF(subscriptions[[#This Row],[churned]]="Yes",1,0)</x:f>
        <x:v>0</x:v>
      </x:c>
      <x:c r="S132" s="11" t="str">
        <x:f>IF(K132="Yes",(L132-J132)/30.4375,"")</x:f>
      </x:c>
      <x:c r="T132" t="str">
        <x:f>IF(AND(K132="No",P132&lt;40,O132&lt;=4),"High Risk","")</x:f>
      </x:c>
    </x:row>
    <x:row r="133">
      <x:c r="A133" t="s">
        <x:v>190</x:v>
      </x:c>
      <x:c r="B133" t="s">
        <x:v>33</x:v>
      </x:c>
      <x:c r="C133" t="s">
        <x:v>29</x:v>
      </x:c>
      <x:c r="D133" t="s">
        <x:v>83</x:v>
      </x:c>
      <x:c r="E133" t="s">
        <x:v>46</x:v>
      </x:c>
      <x:c r="F133">
        <x:v>8</x:v>
      </x:c>
      <x:c r="G133">
        <x:v>50.53</x:v>
      </x:c>
      <x:c r="H133" t="s">
        <x:v>102</x:v>
      </x:c>
      <x:c r="I133" t="s">
        <x:v>24</x:v>
      </x:c>
      <x:c r="J133" s="1">
        <x:v>45950</x:v>
      </x:c>
      <x:c r="K133" t="s">
        <x:v>27</x:v>
      </x:c>
      <x:c r="M133"/>
      <x:c r="N133">
        <x:v>7</x:v>
      </x:c>
      <x:c r="O133">
        <x:v>3</x:v>
      </x:c>
      <x:c r="P133">
        <x:v>90</x:v>
      </x:c>
      <x:c r="Q133" t="s">
        <x:v>27</x:v>
      </x:c>
      <x:c r="R133" t="n">
        <x:f>IF(subscriptions[[#This Row],[churned]]="Yes",1,0)</x:f>
        <x:v>0</x:v>
      </x:c>
      <x:c r="S133" s="11" t="str">
        <x:f>IF(K133="Yes",(L133-J133)/30.4375,"")</x:f>
      </x:c>
      <x:c r="T133" t="str">
        <x:f>IF(AND(K133="No",P133&lt;40,O133&lt;=4),"High Risk","")</x:f>
      </x:c>
    </x:row>
    <x:row r="134">
      <x:c r="A134" t="s">
        <x:v>191</x:v>
      </x:c>
      <x:c r="B134" t="s">
        <x:v>75</x:v>
      </x:c>
      <x:c r="C134" t="s">
        <x:v>20</x:v>
      </x:c>
      <x:c r="D134" t="s">
        <x:v>83</x:v>
      </x:c>
      <x:c r="E134" t="s">
        <x:v>46</x:v>
      </x:c>
      <x:c r="F134">
        <x:v>1</x:v>
      </x:c>
      <x:c r="G134">
        <x:v>499</x:v>
      </x:c>
      <x:c r="H134" t="s">
        <x:v>47</x:v>
      </x:c>
      <x:c r="I134" t="s">
        <x:v>24</x:v>
      </x:c>
      <x:c r="J134" s="1">
        <x:v>45727</x:v>
      </x:c>
      <x:c r="K134" t="s">
        <x:v>27</x:v>
      </x:c>
      <x:c r="M134"/>
      <x:c r="N134">
        <x:v>7</x:v>
      </x:c>
      <x:c r="O134">
        <x:v>8</x:v>
      </x:c>
      <x:c r="P134">
        <x:v>22</x:v>
      </x:c>
      <x:c r="Q134" t="s">
        <x:v>27</x:v>
      </x:c>
      <x:c r="R134" t="n">
        <x:f>IF(subscriptions[[#This Row],[churned]]="Yes",1,0)</x:f>
        <x:v>0</x:v>
      </x:c>
      <x:c r="S134" s="11" t="str">
        <x:f>IF(K134="Yes",(L134-J134)/30.4375,"")</x:f>
      </x:c>
      <x:c r="T134" t="str">
        <x:f>IF(AND(K134="No",P134&lt;40,O134&lt;=4),"High Risk","")</x:f>
      </x:c>
    </x:row>
    <x:row r="135">
      <x:c r="A135" t="s">
        <x:v>192</x:v>
      </x:c>
      <x:c r="B135" t="s">
        <x:v>38</x:v>
      </x:c>
      <x:c r="C135" t="s">
        <x:v>29</x:v>
      </x:c>
      <x:c r="D135" t="s">
        <x:v>43</x:v>
      </x:c>
      <x:c r="E135" t="s">
        <x:v>22</x:v>
      </x:c>
      <x:c r="F135">
        <x:v>71</x:v>
      </x:c>
      <x:c r="G135">
        <x:v>1945.22</x:v>
      </x:c>
      <x:c r="H135" t="s">
        <x:v>47</x:v>
      </x:c>
      <x:c r="I135" t="s">
        <x:v>73</x:v>
      </x:c>
      <x:c r="J135" s="1">
        <x:v>44607</x:v>
      </x:c>
      <x:c r="K135" t="s">
        <x:v>25</x:v>
      </x:c>
      <x:c r="L135" s="1">
        <x:v>45848</x:v>
      </x:c>
      <x:c r="M135" t="s">
        <x:v>86</x:v>
      </x:c>
      <x:c r="N135">
        <x:v>11</x:v>
      </x:c>
      <x:c r="O135">
        <x:v>5</x:v>
      </x:c>
      <x:c r="P135">
        <x:v>31</x:v>
      </x:c>
      <x:c r="Q135" t="s">
        <x:v>27</x:v>
      </x:c>
      <x:c r="R135" t="n">
        <x:f>IF(subscriptions[[#This Row],[churned]]="Yes",1,0)</x:f>
        <x:v>1</x:v>
      </x:c>
      <x:c r="S135" s="11" t="n">
        <x:f>IF(K135="Yes",(L135-J135)/30.4375,"")</x:f>
        <x:v>40.772073921971256</x:v>
      </x:c>
      <x:c r="T135" t="str">
        <x:f>IF(AND(K135="No",P135&lt;40,O135&lt;=4),"High Risk","")</x:f>
      </x:c>
    </x:row>
    <x:row r="136">
      <x:c r="A136" t="s">
        <x:v>193</x:v>
      </x:c>
      <x:c r="B136" t="s">
        <x:v>19</x:v>
      </x:c>
      <x:c r="C136" t="s">
        <x:v>20</x:v>
      </x:c>
      <x:c r="D136" t="s">
        <x:v>21</x:v>
      </x:c>
      <x:c r="E136" t="s">
        <x:v>40</x:v>
      </x:c>
      <x:c r="F136">
        <x:v>25</x:v>
      </x:c>
      <x:c r="G136">
        <x:v>363.4</x:v>
      </x:c>
      <x:c r="H136" t="s">
        <x:v>64</x:v>
      </x:c>
      <x:c r="I136" t="s">
        <x:v>59</x:v>
      </x:c>
      <x:c r="J136" s="1">
        <x:v>44789</x:v>
      </x:c>
      <x:c r="K136" t="s">
        <x:v>27</x:v>
      </x:c>
      <x:c r="M136"/>
      <x:c r="N136">
        <x:v>5</x:v>
      </x:c>
      <x:c r="O136">
        <x:v>9</x:v>
      </x:c>
      <x:c r="P136">
        <x:v>85</x:v>
      </x:c>
      <x:c r="Q136" t="s">
        <x:v>27</x:v>
      </x:c>
      <x:c r="R136" t="n">
        <x:f>IF(subscriptions[[#This Row],[churned]]="Yes",1,0)</x:f>
        <x:v>0</x:v>
      </x:c>
      <x:c r="S136" s="11" t="str">
        <x:f>IF(K136="Yes",(L136-J136)/30.4375,"")</x:f>
      </x:c>
      <x:c r="T136" t="str">
        <x:f>IF(AND(K136="No",P136&lt;40,O136&lt;=4),"High Risk","")</x:f>
      </x:c>
    </x:row>
    <x:row r="137">
      <x:c r="A137" t="s">
        <x:v>194</x:v>
      </x:c>
      <x:c r="B137" t="s">
        <x:v>19</x:v>
      </x:c>
      <x:c r="C137" t="s">
        <x:v>29</x:v>
      </x:c>
      <x:c r="D137" t="s">
        <x:v>45</x:v>
      </x:c>
      <x:c r="E137" t="s">
        <x:v>35</x:v>
      </x:c>
      <x:c r="F137">
        <x:v>106</x:v>
      </x:c>
      <x:c r="G137">
        <x:v>1124.76</x:v>
      </x:c>
      <x:c r="H137" t="s">
        <x:v>36</x:v>
      </x:c>
      <x:c r="I137" t="s">
        <x:v>24</x:v>
      </x:c>
      <x:c r="J137" s="1">
        <x:v>44626</x:v>
      </x:c>
      <x:c r="K137" t="s">
        <x:v>27</x:v>
      </x:c>
      <x:c r="M137"/>
      <x:c r="N137">
        <x:v>4</x:v>
      </x:c>
      <x:c r="O137">
        <x:v>4</x:v>
      </x:c>
      <x:c r="P137">
        <x:v>87</x:v>
      </x:c>
      <x:c r="Q137" t="s">
        <x:v>27</x:v>
      </x:c>
      <x:c r="R137" t="n">
        <x:f>IF(subscriptions[[#This Row],[churned]]="Yes",1,0)</x:f>
        <x:v>0</x:v>
      </x:c>
      <x:c r="S137" s="11" t="str">
        <x:f>IF(K137="Yes",(L137-J137)/30.4375,"")</x:f>
      </x:c>
      <x:c r="T137" t="str">
        <x:f>IF(AND(K137="No",P137&lt;40,O137&lt;=4),"High Risk","")</x:f>
      </x:c>
    </x:row>
    <x:row r="138">
      <x:c r="A138" t="s">
        <x:v>195</x:v>
      </x:c>
      <x:c r="B138" t="s">
        <x:v>33</x:v>
      </x:c>
      <x:c r="C138" t="s">
        <x:v>29</x:v>
      </x:c>
      <x:c r="D138" t="s">
        <x:v>39</x:v>
      </x:c>
      <x:c r="E138" t="s">
        <x:v>40</x:v>
      </x:c>
      <x:c r="F138">
        <x:v>9</x:v>
      </x:c>
      <x:c r="G138">
        <x:v>54.23</x:v>
      </x:c>
      <x:c r="H138" t="s">
        <x:v>23</x:v>
      </x:c>
      <x:c r="I138" t="s">
        <x:v>24</x:v>
      </x:c>
      <x:c r="J138" s="1">
        <x:v>45053</x:v>
      </x:c>
      <x:c r="K138" t="s">
        <x:v>25</x:v>
      </x:c>
      <x:c r="L138" s="1">
        <x:v>45338</x:v>
      </x:c>
      <x:c r="M138" t="s">
        <x:v>50</x:v>
      </x:c>
      <x:c r="N138">
        <x:v>4</x:v>
      </x:c>
      <x:c r="O138">
        <x:v>2</x:v>
      </x:c>
      <x:c r="P138">
        <x:v>41</x:v>
      </x:c>
      <x:c r="Q138" t="s">
        <x:v>27</x:v>
      </x:c>
      <x:c r="R138" t="n">
        <x:f>IF(subscriptions[[#This Row],[churned]]="Yes",1,0)</x:f>
        <x:v>1</x:v>
      </x:c>
      <x:c r="S138" s="11" t="n">
        <x:f>IF(K138="Yes",(L138-J138)/30.4375,"")</x:f>
        <x:v>9.363449691991786</x:v>
      </x:c>
      <x:c r="T138" t="str">
        <x:f>IF(AND(K138="No",P138&lt;40,O138&lt;=4),"High Risk","")</x:f>
      </x:c>
    </x:row>
    <x:row r="139">
      <x:c r="A139" t="s">
        <x:v>196</x:v>
      </x:c>
      <x:c r="B139" t="s">
        <x:v>33</x:v>
      </x:c>
      <x:c r="C139" t="s">
        <x:v>20</x:v>
      </x:c>
      <x:c r="D139" t="s">
        <x:v>56</x:v>
      </x:c>
      <x:c r="E139" t="s">
        <x:v>40</x:v>
      </x:c>
      <x:c r="F139">
        <x:v>21</x:v>
      </x:c>
      <x:c r="G139">
        <x:v>116</x:v>
      </x:c>
      <x:c r="H139" t="s">
        <x:v>30</x:v>
      </x:c>
      <x:c r="I139" t="s">
        <x:v>41</x:v>
      </x:c>
      <x:c r="J139" s="1">
        <x:v>44774</x:v>
      </x:c>
      <x:c r="K139" t="s">
        <x:v>25</x:v>
      </x:c>
      <x:c r="L139" s="1">
        <x:v>44812</x:v>
      </x:c>
      <x:c r="M139" t="s">
        <x:v>26</x:v>
      </x:c>
      <x:c r="N139">
        <x:v>1</x:v>
      </x:c>
      <x:c r="O139">
        <x:v>3</x:v>
      </x:c>
      <x:c r="P139">
        <x:v>19</x:v>
      </x:c>
      <x:c r="Q139" t="s">
        <x:v>27</x:v>
      </x:c>
      <x:c r="R139" t="n">
        <x:f>IF(subscriptions[[#This Row],[churned]]="Yes",1,0)</x:f>
        <x:v>1</x:v>
      </x:c>
      <x:c r="S139" s="11" t="n">
        <x:f>IF(K139="Yes",(L139-J139)/30.4375,"")</x:f>
        <x:v>1.2484599589322383</x:v>
      </x:c>
      <x:c r="T139" t="str">
        <x:f>IF(AND(K139="No",P139&lt;40,O139&lt;=4),"High Risk","")</x:f>
      </x:c>
    </x:row>
    <x:row r="140">
      <x:c r="A140" t="s">
        <x:v>197</x:v>
      </x:c>
      <x:c r="B140" t="s">
        <x:v>33</x:v>
      </x:c>
      <x:c r="C140" t="s">
        <x:v>20</x:v>
      </x:c>
      <x:c r="D140" t="s">
        <x:v>34</x:v>
      </x:c>
      <x:c r="E140" t="s">
        <x:v>40</x:v>
      </x:c>
      <x:c r="F140">
        <x:v>5</x:v>
      </x:c>
      <x:c r="G140">
        <x:v>46.4</x:v>
      </x:c>
      <x:c r="H140" t="s">
        <x:v>47</x:v>
      </x:c>
      <x:c r="I140" t="s">
        <x:v>24</x:v>
      </x:c>
      <x:c r="J140" s="1">
        <x:v>45663</x:v>
      </x:c>
      <x:c r="K140" t="s">
        <x:v>25</x:v>
      </x:c>
      <x:c r="L140" s="1">
        <x:v>46010</x:v>
      </x:c>
      <x:c r="M140" t="s">
        <x:v>57</x:v>
      </x:c>
      <x:c r="N140">
        <x:v>7</x:v>
      </x:c>
      <x:c r="O140">
        <x:v>3</x:v>
      </x:c>
      <x:c r="P140">
        <x:v>22</x:v>
      </x:c>
      <x:c r="Q140" t="s">
        <x:v>27</x:v>
      </x:c>
      <x:c r="R140" t="n">
        <x:f>IF(subscriptions[[#This Row],[churned]]="Yes",1,0)</x:f>
        <x:v>1</x:v>
      </x:c>
      <x:c r="S140" s="11" t="n">
        <x:f>IF(K140="Yes",(L140-J140)/30.4375,"")</x:f>
        <x:v>11.40041067761807</x:v>
      </x:c>
      <x:c r="T140" t="str">
        <x:f>IF(AND(K140="No",P140&lt;40,O140&lt;=4),"High Risk","")</x:f>
      </x:c>
    </x:row>
    <x:row r="141">
      <x:c r="A141" t="s">
        <x:v>198</x:v>
      </x:c>
      <x:c r="B141" t="s">
        <x:v>33</x:v>
      </x:c>
      <x:c r="C141" t="s">
        <x:v>20</x:v>
      </x:c>
      <x:c r="D141" t="s">
        <x:v>21</x:v>
      </x:c>
      <x:c r="E141" t="s">
        <x:v>49</x:v>
      </x:c>
      <x:c r="F141">
        <x:v>131</x:v>
      </x:c>
      <x:c r="G141">
        <x:v>594.5</x:v>
      </x:c>
      <x:c r="H141" t="s">
        <x:v>36</x:v>
      </x:c>
      <x:c r="I141" t="s">
        <x:v>24</x:v>
      </x:c>
      <x:c r="J141" s="1">
        <x:v>44613</x:v>
      </x:c>
      <x:c r="K141" t="s">
        <x:v>25</x:v>
      </x:c>
      <x:c r="L141" s="1">
        <x:v>44764</x:v>
      </x:c>
      <x:c r="M141" t="s">
        <x:v>60</x:v>
      </x:c>
      <x:c r="N141">
        <x:v>9</x:v>
      </x:c>
      <x:c r="O141">
        <x:v>3</x:v>
      </x:c>
      <x:c r="P141">
        <x:v>16</x:v>
      </x:c>
      <x:c r="Q141" t="s">
        <x:v>27</x:v>
      </x:c>
      <x:c r="R141" t="n">
        <x:f>IF(subscriptions[[#This Row],[churned]]="Yes",1,0)</x:f>
        <x:v>1</x:v>
      </x:c>
      <x:c r="S141" s="11" t="n">
        <x:f>IF(K141="Yes",(L141-J141)/30.4375,"")</x:f>
        <x:v>4.960985626283367</x:v>
      </x:c>
      <x:c r="T141" t="str">
        <x:f>IF(AND(K141="No",P141&lt;40,O141&lt;=4),"High Risk","")</x:f>
      </x:c>
    </x:row>
    <x:row r="142">
      <x:c r="A142" t="s">
        <x:v>199</x:v>
      </x:c>
      <x:c r="B142" t="s">
        <x:v>38</x:v>
      </x:c>
      <x:c r="C142" t="s">
        <x:v>29</x:v>
      </x:c>
      <x:c r="D142" t="s">
        <x:v>72</x:v>
      </x:c>
      <x:c r="E142" t="s">
        <x:v>22</x:v>
      </x:c>
      <x:c r="F142">
        <x:v>18</x:v>
      </x:c>
      <x:c r="G142">
        <x:v>600.48</x:v>
      </x:c>
      <x:c r="H142" t="s">
        <x:v>64</x:v>
      </x:c>
      <x:c r="I142" t="s">
        <x:v>24</x:v>
      </x:c>
      <x:c r="J142" s="1">
        <x:v>45368</x:v>
      </x:c>
      <x:c r="K142" t="s">
        <x:v>27</x:v>
      </x:c>
      <x:c r="M142"/>
      <x:c r="N142">
        <x:v>8</x:v>
      </x:c>
      <x:c r="O142">
        <x:v>4</x:v>
      </x:c>
      <x:c r="P142">
        <x:v>33</x:v>
      </x:c>
      <x:c r="Q142" t="s">
        <x:v>27</x:v>
      </x:c>
      <x:c r="R142" t="n">
        <x:f>IF(subscriptions[[#This Row],[churned]]="Yes",1,0)</x:f>
        <x:v>0</x:v>
      </x:c>
      <x:c r="S142" s="11" t="str">
        <x:f>IF(K142="Yes",(L142-J142)/30.4375,"")</x:f>
      </x:c>
      <x:c r="T142" t="str">
        <x:f>IF(AND(K142="No",P142&lt;40,O142&lt;=4),"High Risk","")</x:f>
        <x:v>High Risk</x:v>
      </x:c>
    </x:row>
    <x:row r="143">
      <x:c r="A143" t="s">
        <x:v>200</x:v>
      </x:c>
      <x:c r="B143" t="s">
        <x:v>33</x:v>
      </x:c>
      <x:c r="C143" t="s">
        <x:v>29</x:v>
      </x:c>
      <x:c r="D143" t="s">
        <x:v>66</x:v>
      </x:c>
      <x:c r="E143" t="s">
        <x:v>22</x:v>
      </x:c>
      <x:c r="F143">
        <x:v>28</x:v>
      </x:c>
      <x:c r="G143">
        <x:v>124.48</x:v>
      </x:c>
      <x:c r="H143" t="s">
        <x:v>102</x:v>
      </x:c>
      <x:c r="I143" t="s">
        <x:v>24</x:v>
      </x:c>
      <x:c r="J143" s="1">
        <x:v>45534</x:v>
      </x:c>
      <x:c r="K143" t="s">
        <x:v>27</x:v>
      </x:c>
      <x:c r="M143"/>
      <x:c r="N143">
        <x:v>8</x:v>
      </x:c>
      <x:c r="O143">
        <x:v>3</x:v>
      </x:c>
      <x:c r="P143">
        <x:v>32</x:v>
      </x:c>
      <x:c r="Q143" t="s">
        <x:v>27</x:v>
      </x:c>
      <x:c r="R143" t="n">
        <x:f>IF(subscriptions[[#This Row],[churned]]="Yes",1,0)</x:f>
        <x:v>0</x:v>
      </x:c>
      <x:c r="S143" s="11" t="str">
        <x:f>IF(K143="Yes",(L143-J143)/30.4375,"")</x:f>
      </x:c>
      <x:c r="T143" t="str">
        <x:f>IF(AND(K143="No",P143&lt;40,O143&lt;=4),"High Risk","")</x:f>
        <x:v>High Risk</x:v>
      </x:c>
    </x:row>
    <x:row r="144">
      <x:c r="A144" t="s">
        <x:v>201</x:v>
      </x:c>
      <x:c r="B144" t="s">
        <x:v>38</x:v>
      </x:c>
      <x:c r="C144" t="s">
        <x:v>29</x:v>
      </x:c>
      <x:c r="D144" t="s">
        <x:v>34</x:v>
      </x:c>
      <x:c r="E144" t="s">
        <x:v>46</x:v>
      </x:c>
      <x:c r="F144">
        <x:v>7</x:v>
      </x:c>
      <x:c r="G144">
        <x:v>321.38</x:v>
      </x:c>
      <x:c r="H144" t="s">
        <x:v>23</x:v>
      </x:c>
      <x:c r="I144" t="s">
        <x:v>24</x:v>
      </x:c>
      <x:c r="J144" s="1">
        <x:v>45928</x:v>
      </x:c>
      <x:c r="K144" t="s">
        <x:v>27</x:v>
      </x:c>
      <x:c r="M144"/>
      <x:c r="N144">
        <x:v>12</x:v>
      </x:c>
      <x:c r="O144">
        <x:v>1</x:v>
      </x:c>
      <x:c r="P144">
        <x:v>43</x:v>
      </x:c>
      <x:c r="Q144" t="s">
        <x:v>27</x:v>
      </x:c>
      <x:c r="R144" t="n">
        <x:f>IF(subscriptions[[#This Row],[churned]]="Yes",1,0)</x:f>
        <x:v>0</x:v>
      </x:c>
      <x:c r="S144" s="11" t="str">
        <x:f>IF(K144="Yes",(L144-J144)/30.4375,"")</x:f>
      </x:c>
      <x:c r="T144" t="str">
        <x:f>IF(AND(K144="No",P144&lt;40,O144&lt;=4),"High Risk","")</x:f>
      </x:c>
    </x:row>
    <x:row r="145">
      <x:c r="A145" t="s">
        <x:v>202</x:v>
      </x:c>
      <x:c r="B145" t="s">
        <x:v>33</x:v>
      </x:c>
      <x:c r="C145" t="s">
        <x:v>20</x:v>
      </x:c>
      <x:c r="D145" t="s">
        <x:v>39</x:v>
      </x:c>
      <x:c r="E145" t="s">
        <x:v>46</x:v>
      </x:c>
      <x:c r="F145">
        <x:v>6</x:v>
      </x:c>
      <x:c r="G145">
        <x:v>50.75</x:v>
      </x:c>
      <x:c r="H145" t="s">
        <x:v>23</x:v>
      </x:c>
      <x:c r="I145" t="s">
        <x:v>24</x:v>
      </x:c>
      <x:c r="J145" s="1">
        <x:v>45018</x:v>
      </x:c>
      <x:c r="K145" t="s">
        <x:v>25</x:v>
      </x:c>
      <x:c r="L145" s="1">
        <x:v>45129</x:v>
      </x:c>
      <x:c r="M145" t="s">
        <x:v>86</x:v>
      </x:c>
      <x:c r="N145">
        <x:v>3</x:v>
      </x:c>
      <x:c r="O145">
        <x:v>1</x:v>
      </x:c>
      <x:c r="P145">
        <x:v>44</x:v>
      </x:c>
      <x:c r="Q145" t="s">
        <x:v>27</x:v>
      </x:c>
      <x:c r="R145" t="n">
        <x:f>IF(subscriptions[[#This Row],[churned]]="Yes",1,0)</x:f>
        <x:v>1</x:v>
      </x:c>
      <x:c r="S145" s="11" t="n">
        <x:f>IF(K145="Yes",(L145-J145)/30.4375,"")</x:f>
        <x:v>3.646817248459959</x:v>
      </x:c>
      <x:c r="T145" t="str">
        <x:f>IF(AND(K145="No",P145&lt;40,O145&lt;=4),"High Risk","")</x:f>
      </x:c>
    </x:row>
    <x:row r="146">
      <x:c r="A146" t="s">
        <x:v>203</x:v>
      </x:c>
      <x:c r="B146" t="s">
        <x:v>19</x:v>
      </x:c>
      <x:c r="C146" t="s">
        <x:v>29</x:v>
      </x:c>
      <x:c r="D146" t="s">
        <x:v>34</x:v>
      </x:c>
      <x:c r="E146" t="s">
        <x:v>40</x:v>
      </x:c>
      <x:c r="F146">
        <x:v>8</x:v>
      </x:c>
      <x:c r="G146">
        <x:v>137.66</x:v>
      </x:c>
      <x:c r="H146" t="s">
        <x:v>30</x:v>
      </x:c>
      <x:c r="I146" t="s">
        <x:v>24</x:v>
      </x:c>
      <x:c r="J146" s="1">
        <x:v>45277</x:v>
      </x:c>
      <x:c r="K146" t="s">
        <x:v>25</x:v>
      </x:c>
      <x:c r="L146" s="1">
        <x:v>45613</x:v>
      </x:c>
      <x:c r="M146" t="s">
        <x:v>50</x:v>
      </x:c>
      <x:c r="N146">
        <x:v>3</x:v>
      </x:c>
      <x:c r="O146">
        <x:v>3</x:v>
      </x:c>
      <x:c r="P146">
        <x:v>30</x:v>
      </x:c>
      <x:c r="Q146" t="s">
        <x:v>27</x:v>
      </x:c>
      <x:c r="R146" t="n">
        <x:f>IF(subscriptions[[#This Row],[churned]]="Yes",1,0)</x:f>
        <x:v>1</x:v>
      </x:c>
      <x:c r="S146" s="11" t="n">
        <x:f>IF(K146="Yes",(L146-J146)/30.4375,"")</x:f>
        <x:v>11.039014373716633</x:v>
      </x:c>
      <x:c r="T146" t="str">
        <x:f>IF(AND(K146="No",P146&lt;40,O146&lt;=4),"High Risk","")</x:f>
      </x:c>
    </x:row>
    <x:row r="147">
      <x:c r="A147" t="s">
        <x:v>204</x:v>
      </x:c>
      <x:c r="B147" t="s">
        <x:v>75</x:v>
      </x:c>
      <x:c r="C147" t="s">
        <x:v>20</x:v>
      </x:c>
      <x:c r="D147" t="s">
        <x:v>72</x:v>
      </x:c>
      <x:c r="E147" t="s">
        <x:v>40</x:v>
      </x:c>
      <x:c r="F147">
        <x:v>15</x:v>
      </x:c>
      <x:c r="G147">
        <x:v>1546.9</x:v>
      </x:c>
      <x:c r="H147" t="s">
        <x:v>23</x:v>
      </x:c>
      <x:c r="I147" t="s">
        <x:v>24</x:v>
      </x:c>
      <x:c r="J147" s="1">
        <x:v>44739</x:v>
      </x:c>
      <x:c r="K147" t="s">
        <x:v>27</x:v>
      </x:c>
      <x:c r="M147"/>
      <x:c r="N147">
        <x:v>1</x:v>
      </x:c>
      <x:c r="O147">
        <x:v>5</x:v>
      </x:c>
      <x:c r="P147">
        <x:v>61</x:v>
      </x:c>
      <x:c r="Q147" t="s">
        <x:v>27</x:v>
      </x:c>
      <x:c r="R147" t="n">
        <x:f>IF(subscriptions[[#This Row],[churned]]="Yes",1,0)</x:f>
        <x:v>0</x:v>
      </x:c>
      <x:c r="S147" s="11" t="str">
        <x:f>IF(K147="Yes",(L147-J147)/30.4375,"")</x:f>
      </x:c>
      <x:c r="T147" t="str">
        <x:f>IF(AND(K147="No",P147&lt;40,O147&lt;=4),"High Risk","")</x:f>
      </x:c>
    </x:row>
    <x:row r="148">
      <x:c r="A148" t="s">
        <x:v>205</x:v>
      </x:c>
      <x:c r="B148" t="s">
        <x:v>33</x:v>
      </x:c>
      <x:c r="C148" t="s">
        <x:v>29</x:v>
      </x:c>
      <x:c r="D148" t="s">
        <x:v>43</x:v>
      </x:c>
      <x:c r="E148" t="s">
        <x:v>46</x:v>
      </x:c>
      <x:c r="F148">
        <x:v>6</x:v>
      </x:c>
      <x:c r="G148">
        <x:v>43.14</x:v>
      </x:c>
      <x:c r="H148" t="s">
        <x:v>64</x:v>
      </x:c>
      <x:c r="I148" t="s">
        <x:v>24</x:v>
      </x:c>
      <x:c r="J148" s="1">
        <x:v>45204</x:v>
      </x:c>
      <x:c r="K148" t="s">
        <x:v>25</x:v>
      </x:c>
      <x:c r="L148" s="1">
        <x:v>45251</x:v>
      </x:c>
      <x:c r="M148" t="s">
        <x:v>26</x:v>
      </x:c>
      <x:c r="N148">
        <x:v>5</x:v>
      </x:c>
      <x:c r="O148">
        <x:v>3</x:v>
      </x:c>
      <x:c r="P148">
        <x:v>15</x:v>
      </x:c>
      <x:c r="Q148" t="s">
        <x:v>27</x:v>
      </x:c>
      <x:c r="R148" t="n">
        <x:f>IF(subscriptions[[#This Row],[churned]]="Yes",1,0)</x:f>
        <x:v>1</x:v>
      </x:c>
      <x:c r="S148" s="11" t="n">
        <x:f>IF(K148="Yes",(L148-J148)/30.4375,"")</x:f>
        <x:v>1.5441478439425051</x:v>
      </x:c>
      <x:c r="T148" t="str">
        <x:f>IF(AND(K148="No",P148&lt;40,O148&lt;=4),"High Risk","")</x:f>
      </x:c>
    </x:row>
    <x:row r="149">
      <x:c r="A149" t="s">
        <x:v>206</x:v>
      </x:c>
      <x:c r="B149" t="s">
        <x:v>75</x:v>
      </x:c>
      <x:c r="C149" t="s">
        <x:v>20</x:v>
      </x:c>
      <x:c r="D149" t="s">
        <x:v>53</x:v>
      </x:c>
      <x:c r="E149" t="s">
        <x:v>22</x:v>
      </x:c>
      <x:c r="F149">
        <x:v>73</x:v>
      </x:c>
      <x:c r="G149">
        <x:v>5888.2</x:v>
      </x:c>
      <x:c r="H149" t="s">
        <x:v>23</x:v>
      </x:c>
      <x:c r="I149" t="s">
        <x:v>41</x:v>
      </x:c>
      <x:c r="J149" s="1">
        <x:v>45714</x:v>
      </x:c>
      <x:c r="K149" t="s">
        <x:v>27</x:v>
      </x:c>
      <x:c r="M149"/>
      <x:c r="N149">
        <x:v>5</x:v>
      </x:c>
      <x:c r="O149">
        <x:v>2</x:v>
      </x:c>
      <x:c r="P149">
        <x:v>54</x:v>
      </x:c>
      <x:c r="Q149" t="s">
        <x:v>27</x:v>
      </x:c>
      <x:c r="R149" t="n">
        <x:f>IF(subscriptions[[#This Row],[churned]]="Yes",1,0)</x:f>
        <x:v>0</x:v>
      </x:c>
      <x:c r="S149" s="11" t="str">
        <x:f>IF(K149="Yes",(L149-J149)/30.4375,"")</x:f>
      </x:c>
      <x:c r="T149" t="str">
        <x:f>IF(AND(K149="No",P149&lt;40,O149&lt;=4),"High Risk","")</x:f>
      </x:c>
    </x:row>
    <x:row r="150">
      <x:c r="A150" t="s">
        <x:v>207</x:v>
      </x:c>
      <x:c r="B150" t="s">
        <x:v>19</x:v>
      </x:c>
      <x:c r="C150" t="s">
        <x:v>20</x:v>
      </x:c>
      <x:c r="D150" t="s">
        <x:v>43</x:v>
      </x:c>
      <x:c r="E150" t="s">
        <x:v>46</x:v>
      </x:c>
      <x:c r="F150">
        <x:v>1</x:v>
      </x:c>
      <x:c r="G150">
        <x:v>79</x:v>
      </x:c>
      <x:c r="H150" t="s">
        <x:v>30</x:v>
      </x:c>
      <x:c r="I150" t="s">
        <x:v>24</x:v>
      </x:c>
      <x:c r="J150" s="1">
        <x:v>45866</x:v>
      </x:c>
      <x:c r="K150" t="s">
        <x:v>27</x:v>
      </x:c>
      <x:c r="M150"/>
      <x:c r="N150">
        <x:v>11</x:v>
      </x:c>
      <x:c r="O150">
        <x:v>6</x:v>
      </x:c>
      <x:c r="P150">
        <x:v>74</x:v>
      </x:c>
      <x:c r="Q150" t="s">
        <x:v>27</x:v>
      </x:c>
      <x:c r="R150" t="n">
        <x:f>IF(subscriptions[[#This Row],[churned]]="Yes",1,0)</x:f>
        <x:v>0</x:v>
      </x:c>
      <x:c r="S150" s="11" t="str">
        <x:f>IF(K150="Yes",(L150-J150)/30.4375,"")</x:f>
      </x:c>
      <x:c r="T150" t="str">
        <x:f>IF(AND(K150="No",P150&lt;40,O150&lt;=4),"High Risk","")</x:f>
      </x:c>
    </x:row>
    <x:row r="151">
      <x:c r="A151" t="s">
        <x:v>208</x:v>
      </x:c>
      <x:c r="B151" t="s">
        <x:v>19</x:v>
      </x:c>
      <x:c r="C151" t="s">
        <x:v>20</x:v>
      </x:c>
      <x:c r="D151" t="s">
        <x:v>43</x:v>
      </x:c>
      <x:c r="E151" t="s">
        <x:v>40</x:v>
      </x:c>
      <x:c r="F151">
        <x:v>26</x:v>
      </x:c>
      <x:c r="G151">
        <x:v>375.25</x:v>
      </x:c>
      <x:c r="H151" t="s">
        <x:v>23</x:v>
      </x:c>
      <x:c r="I151" t="s">
        <x:v>73</x:v>
      </x:c>
      <x:c r="J151" s="1">
        <x:v>45109</x:v>
      </x:c>
      <x:c r="K151" t="s">
        <x:v>25</x:v>
      </x:c>
      <x:c r="L151" s="1">
        <x:v>45346</x:v>
      </x:c>
      <x:c r="M151" t="s">
        <x:v>26</x:v>
      </x:c>
      <x:c r="N151">
        <x:v>13</x:v>
      </x:c>
      <x:c r="O151">
        <x:v>1</x:v>
      </x:c>
      <x:c r="P151">
        <x:v>29</x:v>
      </x:c>
      <x:c r="Q151" t="s">
        <x:v>27</x:v>
      </x:c>
      <x:c r="R151" t="n">
        <x:f>IF(subscriptions[[#This Row],[churned]]="Yes",1,0)</x:f>
        <x:v>1</x:v>
      </x:c>
      <x:c r="S151" s="11" t="n">
        <x:f>IF(K151="Yes",(L151-J151)/30.4375,"")</x:f>
        <x:v>7.786447638603696</x:v>
      </x:c>
      <x:c r="T151" t="str">
        <x:f>IF(AND(K151="No",P151&lt;40,O151&lt;=4),"High Risk","")</x:f>
      </x:c>
    </x:row>
    <x:row r="152">
      <x:c r="A152" t="s">
        <x:v>209</x:v>
      </x:c>
      <x:c r="B152" t="s">
        <x:v>33</x:v>
      </x:c>
      <x:c r="C152" t="s">
        <x:v>20</x:v>
      </x:c>
      <x:c r="D152" t="s">
        <x:v>21</x:v>
      </x:c>
      <x:c r="E152" t="s">
        <x:v>46</x:v>
      </x:c>
      <x:c r="F152">
        <x:v>5</x:v>
      </x:c>
      <x:c r="G152">
        <x:v>46.4</x:v>
      </x:c>
      <x:c r="H152" t="s">
        <x:v>102</x:v>
      </x:c>
      <x:c r="I152" t="s">
        <x:v>24</x:v>
      </x:c>
      <x:c r="J152" s="1">
        <x:v>45438</x:v>
      </x:c>
      <x:c r="K152" t="s">
        <x:v>25</x:v>
      </x:c>
      <x:c r="L152" s="1">
        <x:v>45632</x:v>
      </x:c>
      <x:c r="M152" t="s">
        <x:v>67</x:v>
      </x:c>
      <x:c r="N152">
        <x:v>7</x:v>
      </x:c>
      <x:c r="O152">
        <x:v>5</x:v>
      </x:c>
      <x:c r="P152">
        <x:v>15</x:v>
      </x:c>
      <x:c r="Q152" t="s">
        <x:v>27</x:v>
      </x:c>
      <x:c r="R152" t="n">
        <x:f>IF(subscriptions[[#This Row],[churned]]="Yes",1,0)</x:f>
        <x:v>1</x:v>
      </x:c>
      <x:c r="S152" s="11" t="n">
        <x:f>IF(K152="Yes",(L152-J152)/30.4375,"")</x:f>
        <x:v>6.373716632443532</x:v>
      </x:c>
      <x:c r="T152" t="str">
        <x:f>IF(AND(K152="No",P152&lt;40,O152&lt;=4),"High Risk","")</x:f>
      </x:c>
    </x:row>
    <x:row r="153">
      <x:c r="A153" t="s">
        <x:v>210</x:v>
      </x:c>
      <x:c r="B153" t="s">
        <x:v>38</x:v>
      </x:c>
      <x:c r="C153" t="s">
        <x:v>29</x:v>
      </x:c>
      <x:c r="D153" t="s">
        <x:v>21</x:v>
      </x:c>
      <x:c r="E153" t="s">
        <x:v>35</x:v>
      </x:c>
      <x:c r="F153">
        <x:v>199</x:v>
      </x:c>
      <x:c r="G153">
        <x:v>5192.8999999999996</x:v>
      </x:c>
      <x:c r="H153" t="s">
        <x:v>36</x:v>
      </x:c>
      <x:c r="I153" t="s">
        <x:v>24</x:v>
      </x:c>
      <x:c r="J153" s="1">
        <x:v>45086</x:v>
      </x:c>
      <x:c r="K153" t="s">
        <x:v>25</x:v>
      </x:c>
      <x:c r="L153" s="1">
        <x:v>45526</x:v>
      </x:c>
      <x:c r="M153" t="s">
        <x:v>50</x:v>
      </x:c>
      <x:c r="N153">
        <x:v>4</x:v>
      </x:c>
      <x:c r="O153">
        <x:v>5</x:v>
      </x:c>
      <x:c r="P153">
        <x:v>36</x:v>
      </x:c>
      <x:c r="Q153" t="s">
        <x:v>27</x:v>
      </x:c>
      <x:c r="R153" t="n">
        <x:f>IF(subscriptions[[#This Row],[churned]]="Yes",1,0)</x:f>
        <x:v>1</x:v>
      </x:c>
      <x:c r="S153" s="11" t="n">
        <x:f>IF(K153="Yes",(L153-J153)/30.4375,"")</x:f>
        <x:v>14.455852156057494</x:v>
      </x:c>
      <x:c r="T153" t="str">
        <x:f>IF(AND(K153="No",P153&lt;40,O153&lt;=4),"High Risk","")</x:f>
      </x:c>
    </x:row>
    <x:row r="154">
      <x:c r="A154" t="s">
        <x:v>211</x:v>
      </x:c>
      <x:c r="B154" t="s">
        <x:v>33</x:v>
      </x:c>
      <x:c r="C154" t="s">
        <x:v>20</x:v>
      </x:c>
      <x:c r="D154" t="s">
        <x:v>21</x:v>
      </x:c>
      <x:c r="E154" t="s">
        <x:v>46</x:v>
      </x:c>
      <x:c r="F154">
        <x:v>6</x:v>
      </x:c>
      <x:c r="G154">
        <x:v>50.75</x:v>
      </x:c>
      <x:c r="H154" t="s">
        <x:v>36</x:v>
      </x:c>
      <x:c r="I154" t="s">
        <x:v>24</x:v>
      </x:c>
      <x:c r="J154" s="1">
        <x:v>45786</x:v>
      </x:c>
      <x:c r="K154" t="s">
        <x:v>25</x:v>
      </x:c>
      <x:c r="L154" s="1">
        <x:v>45991</x:v>
      </x:c>
      <x:c r="M154" t="s">
        <x:v>57</x:v>
      </x:c>
      <x:c r="N154">
        <x:v>8</x:v>
      </x:c>
      <x:c r="O154">
        <x:v>4</x:v>
      </x:c>
      <x:c r="P154">
        <x:v>18</x:v>
      </x:c>
      <x:c r="Q154" t="s">
        <x:v>27</x:v>
      </x:c>
      <x:c r="R154" t="n">
        <x:f>IF(subscriptions[[#This Row],[churned]]="Yes",1,0)</x:f>
        <x:v>1</x:v>
      </x:c>
      <x:c r="S154" s="11" t="n">
        <x:f>IF(K154="Yes",(L154-J154)/30.4375,"")</x:f>
        <x:v>6.7351129363449695</x:v>
      </x:c>
      <x:c r="T154" t="str">
        <x:f>IF(AND(K154="No",P154&lt;40,O154&lt;=4),"High Risk","")</x:f>
      </x:c>
    </x:row>
    <x:row r="155">
      <x:c r="A155" t="s">
        <x:v>212</x:v>
      </x:c>
      <x:c r="B155" t="s">
        <x:v>19</x:v>
      </x:c>
      <x:c r="C155" t="s">
        <x:v>29</x:v>
      </x:c>
      <x:c r="D155" t="s">
        <x:v>72</x:v>
      </x:c>
      <x:c r="E155" t="s">
        <x:v>46</x:v>
      </x:c>
      <x:c r="F155">
        <x:v>1</x:v>
      </x:c>
      <x:c r="G155">
        <x:v>67.150000000000006</x:v>
      </x:c>
      <x:c r="H155" t="s">
        <x:v>36</x:v>
      </x:c>
      <x:c r="I155" t="s">
        <x:v>41</x:v>
      </x:c>
      <x:c r="J155" s="1">
        <x:v>45515</x:v>
      </x:c>
      <x:c r="K155" t="s">
        <x:v>25</x:v>
      </x:c>
      <x:c r="L155" s="1">
        <x:v>45714</x:v>
      </x:c>
      <x:c r="M155" t="s">
        <x:v>50</x:v>
      </x:c>
      <x:c r="N155">
        <x:v>1</x:v>
      </x:c>
      <x:c r="O155">
        <x:v>5</x:v>
      </x:c>
      <x:c r="P155">
        <x:v>14</x:v>
      </x:c>
      <x:c r="Q155" t="s">
        <x:v>27</x:v>
      </x:c>
      <x:c r="R155" t="n">
        <x:f>IF(subscriptions[[#This Row],[churned]]="Yes",1,0)</x:f>
        <x:v>1</x:v>
      </x:c>
      <x:c r="S155" s="11" t="n">
        <x:f>IF(K155="Yes",(L155-J155)/30.4375,"")</x:f>
        <x:v>6.537987679671458</x:v>
      </x:c>
      <x:c r="T155" t="str">
        <x:f>IF(AND(K155="No",P155&lt;40,O155&lt;=4),"High Risk","")</x:f>
      </x:c>
    </x:row>
    <x:row r="156">
      <x:c r="A156" t="s">
        <x:v>213</x:v>
      </x:c>
      <x:c r="B156" t="s">
        <x:v>33</x:v>
      </x:c>
      <x:c r="C156" t="s">
        <x:v>20</x:v>
      </x:c>
      <x:c r="D156" t="s">
        <x:v>83</x:v>
      </x:c>
      <x:c r="E156" t="s">
        <x:v>35</x:v>
      </x:c>
      <x:c r="F156">
        <x:v>230</x:v>
      </x:c>
      <x:c r="G156">
        <x:v>1025.1500000000001</x:v>
      </x:c>
      <x:c r="H156" t="s">
        <x:v>47</x:v>
      </x:c>
      <x:c r="I156" t="s">
        <x:v>59</x:v>
      </x:c>
      <x:c r="J156" s="1">
        <x:v>44848</x:v>
      </x:c>
      <x:c r="K156" t="s">
        <x:v>25</x:v>
      </x:c>
      <x:c r="L156" s="1">
        <x:v>45385</x:v>
      </x:c>
      <x:c r="M156" t="s">
        <x:v>26</x:v>
      </x:c>
      <x:c r="N156">
        <x:v>6</x:v>
      </x:c>
      <x:c r="O156">
        <x:v>2</x:v>
      </x:c>
      <x:c r="P156">
        <x:v>35</x:v>
      </x:c>
      <x:c r="Q156" t="s">
        <x:v>27</x:v>
      </x:c>
      <x:c r="R156" t="n">
        <x:f>IF(subscriptions[[#This Row],[churned]]="Yes",1,0)</x:f>
        <x:v>1</x:v>
      </x:c>
      <x:c r="S156" s="11" t="n">
        <x:f>IF(K156="Yes",(L156-J156)/30.4375,"")</x:f>
        <x:v>17.642710472279262</x:v>
      </x:c>
      <x:c r="T156" t="str">
        <x:f>IF(AND(K156="No",P156&lt;40,O156&lt;=4),"High Risk","")</x:f>
      </x:c>
    </x:row>
    <x:row r="157">
      <x:c r="A157" t="s">
        <x:v>214</x:v>
      </x:c>
      <x:c r="B157" t="s">
        <x:v>38</x:v>
      </x:c>
      <x:c r="C157" t="s">
        <x:v>20</x:v>
      </x:c>
      <x:c r="D157" t="s">
        <x:v>56</x:v>
      </x:c>
      <x:c r="E157" t="s">
        <x:v>40</x:v>
      </x:c>
      <x:c r="F157">
        <x:v>7</x:v>
      </x:c>
      <x:c r="G157">
        <x:v>378.1</x:v>
      </x:c>
      <x:c r="H157" t="s">
        <x:v>23</x:v>
      </x:c>
      <x:c r="I157" t="s">
        <x:v>24</x:v>
      </x:c>
      <x:c r="J157" s="1">
        <x:v>45555</x:v>
      </x:c>
      <x:c r="K157" t="s">
        <x:v>27</x:v>
      </x:c>
      <x:c r="M157"/>
      <x:c r="N157">
        <x:v>4</x:v>
      </x:c>
      <x:c r="O157">
        <x:v>5</x:v>
      </x:c>
      <x:c r="P157">
        <x:v>83</x:v>
      </x:c>
      <x:c r="Q157" t="s">
        <x:v>27</x:v>
      </x:c>
      <x:c r="R157" t="n">
        <x:f>IF(subscriptions[[#This Row],[churned]]="Yes",1,0)</x:f>
        <x:v>0</x:v>
      </x:c>
      <x:c r="S157" s="11" t="str">
        <x:f>IF(K157="Yes",(L157-J157)/30.4375,"")</x:f>
      </x:c>
      <x:c r="T157" t="str">
        <x:f>IF(AND(K157="No",P157&lt;40,O157&lt;=4),"High Risk","")</x:f>
      </x:c>
    </x:row>
    <x:row r="158">
      <x:c r="A158" t="s">
        <x:v>215</x:v>
      </x:c>
      <x:c r="B158" t="s">
        <x:v>19</x:v>
      </x:c>
      <x:c r="C158" t="s">
        <x:v>29</x:v>
      </x:c>
      <x:c r="D158" t="s">
        <x:v>66</x:v>
      </x:c>
      <x:c r="E158" t="s">
        <x:v>46</x:v>
      </x:c>
      <x:c r="F158">
        <x:v>5</x:v>
      </x:c>
      <x:c r="G158">
        <x:v>107.44</x:v>
      </x:c>
      <x:c r="H158" t="s">
        <x:v>30</x:v>
      </x:c>
      <x:c r="I158" t="s">
        <x:v>41</x:v>
      </x:c>
      <x:c r="J158" s="1">
        <x:v>45144</x:v>
      </x:c>
      <x:c r="K158" t="s">
        <x:v>27</x:v>
      </x:c>
      <x:c r="M158"/>
      <x:c r="N158">
        <x:v>9</x:v>
      </x:c>
      <x:c r="O158">
        <x:v>2</x:v>
      </x:c>
      <x:c r="P158">
        <x:v>80</x:v>
      </x:c>
      <x:c r="Q158" t="s">
        <x:v>27</x:v>
      </x:c>
      <x:c r="R158" t="n">
        <x:f>IF(subscriptions[[#This Row],[churned]]="Yes",1,0)</x:f>
        <x:v>0</x:v>
      </x:c>
      <x:c r="S158" s="11" t="str">
        <x:f>IF(K158="Yes",(L158-J158)/30.4375,"")</x:f>
      </x:c>
      <x:c r="T158" t="str">
        <x:f>IF(AND(K158="No",P158&lt;40,O158&lt;=4),"High Risk","")</x:f>
      </x:c>
    </x:row>
    <x:row r="159">
      <x:c r="A159" t="s">
        <x:v>216</x:v>
      </x:c>
      <x:c r="B159" t="s">
        <x:v>75</x:v>
      </x:c>
      <x:c r="C159" t="s">
        <x:v>20</x:v>
      </x:c>
      <x:c r="D159" t="s">
        <x:v>45</x:v>
      </x:c>
      <x:c r="E159" t="s">
        <x:v>40</x:v>
      </x:c>
      <x:c r="F159">
        <x:v>20</x:v>
      </x:c>
      <x:c r="G159">
        <x:v>1921.15</x:v>
      </x:c>
      <x:c r="H159" t="s">
        <x:v>23</x:v>
      </x:c>
      <x:c r="I159" t="s">
        <x:v>73</x:v>
      </x:c>
      <x:c r="J159" s="1">
        <x:v>45034</x:v>
      </x:c>
      <x:c r="K159" t="s">
        <x:v>27</x:v>
      </x:c>
      <x:c r="M159"/>
      <x:c r="N159">
        <x:v>6</x:v>
      </x:c>
      <x:c r="O159">
        <x:v>2</x:v>
      </x:c>
      <x:c r="P159">
        <x:v>35</x:v>
      </x:c>
      <x:c r="Q159" t="s">
        <x:v>27</x:v>
      </x:c>
      <x:c r="R159" t="n">
        <x:f>IF(subscriptions[[#This Row],[churned]]="Yes",1,0)</x:f>
        <x:v>0</x:v>
      </x:c>
      <x:c r="S159" s="11" t="str">
        <x:f>IF(K159="Yes",(L159-J159)/30.4375,"")</x:f>
      </x:c>
      <x:c r="T159" t="str">
        <x:f>IF(AND(K159="No",P159&lt;40,O159&lt;=4),"High Risk","")</x:f>
        <x:v>High Risk</x:v>
      </x:c>
    </x:row>
    <x:row r="160">
      <x:c r="A160" t="s">
        <x:v>217</x:v>
      </x:c>
      <x:c r="B160" t="s">
        <x:v>33</x:v>
      </x:c>
      <x:c r="C160" t="s">
        <x:v>29</x:v>
      </x:c>
      <x:c r="D160" t="s">
        <x:v>43</x:v>
      </x:c>
      <x:c r="E160" t="s">
        <x:v>22</x:v>
      </x:c>
      <x:c r="F160">
        <x:v>66</x:v>
      </x:c>
      <x:c r="G160">
        <x:v>264.99</x:v>
      </x:c>
      <x:c r="H160" t="s">
        <x:v>47</x:v>
      </x:c>
      <x:c r="I160" t="s">
        <x:v>59</x:v>
      </x:c>
      <x:c r="J160" s="1">
        <x:v>45955</x:v>
      </x:c>
      <x:c r="K160" t="s">
        <x:v>27</x:v>
      </x:c>
      <x:c r="M160"/>
      <x:c r="N160">
        <x:v>8</x:v>
      </x:c>
      <x:c r="O160">
        <x:v>8</x:v>
      </x:c>
      <x:c r="P160">
        <x:v>30</x:v>
      </x:c>
      <x:c r="Q160" t="s">
        <x:v>27</x:v>
      </x:c>
      <x:c r="R160" t="n">
        <x:f>IF(subscriptions[[#This Row],[churned]]="Yes",1,0)</x:f>
        <x:v>0</x:v>
      </x:c>
      <x:c r="S160" s="11" t="str">
        <x:f>IF(K160="Yes",(L160-J160)/30.4375,"")</x:f>
      </x:c>
      <x:c r="T160" t="str">
        <x:f>IF(AND(K160="No",P160&lt;40,O160&lt;=4),"High Risk","")</x:f>
      </x:c>
    </x:row>
    <x:row r="161">
      <x:c r="A161" t="s">
        <x:v>218</x:v>
      </x:c>
      <x:c r="B161" t="s">
        <x:v>19</x:v>
      </x:c>
      <x:c r="C161" t="s">
        <x:v>29</x:v>
      </x:c>
      <x:c r="D161" t="s">
        <x:v>72</x:v>
      </x:c>
      <x:c r="E161" t="s">
        <x:v>22</x:v>
      </x:c>
      <x:c r="F161">
        <x:v>71</x:v>
      </x:c>
      <x:c r="G161">
        <x:v>772.22</x:v>
      </x:c>
      <x:c r="H161" t="s">
        <x:v>23</x:v>
      </x:c>
      <x:c r="I161" t="s">
        <x:v>59</x:v>
      </x:c>
      <x:c r="J161" s="1">
        <x:v>45664</x:v>
      </x:c>
      <x:c r="K161" t="s">
        <x:v>27</x:v>
      </x:c>
      <x:c r="M161"/>
      <x:c r="N161">
        <x:v>9</x:v>
      </x:c>
      <x:c r="O161">
        <x:v>5</x:v>
      </x:c>
      <x:c r="P161">
        <x:v>93</x:v>
      </x:c>
      <x:c r="Q161" t="s">
        <x:v>27</x:v>
      </x:c>
      <x:c r="R161" t="n">
        <x:f>IF(subscriptions[[#This Row],[churned]]="Yes",1,0)</x:f>
        <x:v>0</x:v>
      </x:c>
      <x:c r="S161" s="11" t="str">
        <x:f>IF(K161="Yes",(L161-J161)/30.4375,"")</x:f>
      </x:c>
      <x:c r="T161" t="str">
        <x:f>IF(AND(K161="No",P161&lt;40,O161&lt;=4),"High Risk","")</x:f>
      </x:c>
    </x:row>
    <x:row r="162">
      <x:c r="A162" t="s">
        <x:v>219</x:v>
      </x:c>
      <x:c r="B162" t="s">
        <x:v>38</x:v>
      </x:c>
      <x:c r="C162" t="s">
        <x:v>29</x:v>
      </x:c>
      <x:c r="D162" t="s">
        <x:v>66</x:v>
      </x:c>
      <x:c r="E162" t="s">
        <x:v>46</x:v>
      </x:c>
      <x:c r="F162">
        <x:v>4</x:v>
      </x:c>
      <x:c r="G162">
        <x:v>245.27</x:v>
      </x:c>
      <x:c r="H162" t="s">
        <x:v>36</x:v>
      </x:c>
      <x:c r="I162" t="s">
        <x:v>41</x:v>
      </x:c>
      <x:c r="J162" s="1">
        <x:v>45637</x:v>
      </x:c>
      <x:c r="K162" t="s">
        <x:v>25</x:v>
      </x:c>
      <x:c r="L162" s="1">
        <x:v>45766</x:v>
      </x:c>
      <x:c r="M162" t="s">
        <x:v>26</x:v>
      </x:c>
      <x:c r="N162">
        <x:v>0</x:v>
      </x:c>
      <x:c r="O162">
        <x:v>6</x:v>
      </x:c>
      <x:c r="P162">
        <x:v>28</x:v>
      </x:c>
      <x:c r="Q162" t="s">
        <x:v>27</x:v>
      </x:c>
      <x:c r="R162" t="n">
        <x:f>IF(subscriptions[[#This Row],[churned]]="Yes",1,0)</x:f>
        <x:v>1</x:v>
      </x:c>
      <x:c r="S162" s="11" t="n">
        <x:f>IF(K162="Yes",(L162-J162)/30.4375,"")</x:f>
        <x:v>4.238193018480493</x:v>
      </x:c>
      <x:c r="T162" t="str">
        <x:f>IF(AND(K162="No",P162&lt;40,O162&lt;=4),"High Risk","")</x:f>
      </x:c>
    </x:row>
    <x:row r="163">
      <x:c r="A163" t="s">
        <x:v>220</x:v>
      </x:c>
      <x:c r="B163" t="s">
        <x:v>33</x:v>
      </x:c>
      <x:c r="C163" t="s">
        <x:v>20</x:v>
      </x:c>
      <x:c r="D163" t="s">
        <x:v>34</x:v>
      </x:c>
      <x:c r="E163" t="s">
        <x:v>35</x:v>
      </x:c>
      <x:c r="F163">
        <x:v>150</x:v>
      </x:c>
      <x:c r="G163">
        <x:v>677.15</x:v>
      </x:c>
      <x:c r="H163" t="s">
        <x:v>64</x:v>
      </x:c>
      <x:c r="I163" t="s">
        <x:v>41</x:v>
      </x:c>
      <x:c r="J163" s="1">
        <x:v>44782</x:v>
      </x:c>
      <x:c r="K163" t="s">
        <x:v>25</x:v>
      </x:c>
      <x:c r="L163" s="1">
        <x:v>45256</x:v>
      </x:c>
      <x:c r="M163" t="s">
        <x:v>57</x:v>
      </x:c>
      <x:c r="N163">
        <x:v>0</x:v>
      </x:c>
      <x:c r="O163">
        <x:v>3</x:v>
      </x:c>
      <x:c r="P163">
        <x:v>44</x:v>
      </x:c>
      <x:c r="Q163" t="s">
        <x:v>27</x:v>
      </x:c>
      <x:c r="R163" t="n">
        <x:f>IF(subscriptions[[#This Row],[churned]]="Yes",1,0)</x:f>
        <x:v>1</x:v>
      </x:c>
      <x:c r="S163" s="11" t="n">
        <x:f>IF(K163="Yes",(L163-J163)/30.4375,"")</x:f>
        <x:v>15.572895277207392</x:v>
      </x:c>
      <x:c r="T163" t="str">
        <x:f>IF(AND(K163="No",P163&lt;40,O163&lt;=4),"High Risk","")</x:f>
      </x:c>
    </x:row>
    <x:row r="164">
      <x:c r="A164" t="s">
        <x:v>221</x:v>
      </x:c>
      <x:c r="B164" t="s">
        <x:v>33</x:v>
      </x:c>
      <x:c r="C164" t="s">
        <x:v>29</x:v>
      </x:c>
      <x:c r="D164" t="s">
        <x:v>43</x:v>
      </x:c>
      <x:c r="E164" t="s">
        <x:v>46</x:v>
      </x:c>
      <x:c r="F164">
        <x:v>2</x:v>
      </x:c>
      <x:c r="G164">
        <x:v>28.35</x:v>
      </x:c>
      <x:c r="H164" t="s">
        <x:v>64</x:v>
      </x:c>
      <x:c r="I164" t="s">
        <x:v>59</x:v>
      </x:c>
      <x:c r="J164" s="1">
        <x:v>45685</x:v>
      </x:c>
      <x:c r="K164" t="s">
        <x:v>27</x:v>
      </x:c>
      <x:c r="M164"/>
      <x:c r="N164">
        <x:v>3</x:v>
      </x:c>
      <x:c r="O164">
        <x:v>8</x:v>
      </x:c>
      <x:c r="P164">
        <x:v>20</x:v>
      </x:c>
      <x:c r="Q164" t="s">
        <x:v>27</x:v>
      </x:c>
      <x:c r="R164" t="n">
        <x:f>IF(subscriptions[[#This Row],[churned]]="Yes",1,0)</x:f>
        <x:v>0</x:v>
      </x:c>
      <x:c r="S164" s="11" t="str">
        <x:f>IF(K164="Yes",(L164-J164)/30.4375,"")</x:f>
      </x:c>
      <x:c r="T164" t="str">
        <x:f>IF(AND(K164="No",P164&lt;40,O164&lt;=4),"High Risk","")</x:f>
      </x:c>
    </x:row>
    <x:row r="165">
      <x:c r="A165" t="s">
        <x:v>222</x:v>
      </x:c>
      <x:c r="B165" t="s">
        <x:v>33</x:v>
      </x:c>
      <x:c r="C165" t="s">
        <x:v>29</x:v>
      </x:c>
      <x:c r="D165" t="s">
        <x:v>56</x:v>
      </x:c>
      <x:c r="E165" t="s">
        <x:v>35</x:v>
      </x:c>
      <x:c r="F165">
        <x:v>220</x:v>
      </x:c>
      <x:c r="G165">
        <x:v>834.4</x:v>
      </x:c>
      <x:c r="H165" t="s">
        <x:v>23</x:v>
      </x:c>
      <x:c r="I165" t="s">
        <x:v>41</x:v>
      </x:c>
      <x:c r="J165" s="1">
        <x:v>45157</x:v>
      </x:c>
      <x:c r="K165" t="s">
        <x:v>25</x:v>
      </x:c>
      <x:c r="L165" s="1">
        <x:v>45819</x:v>
      </x:c>
      <x:c r="M165" t="s">
        <x:v>54</x:v>
      </x:c>
      <x:c r="N165">
        <x:v>4</x:v>
      </x:c>
      <x:c r="O165">
        <x:v>3</x:v>
      </x:c>
      <x:c r="P165">
        <x:v>12</x:v>
      </x:c>
      <x:c r="Q165" t="s">
        <x:v>27</x:v>
      </x:c>
      <x:c r="R165" t="n">
        <x:f>IF(subscriptions[[#This Row],[churned]]="Yes",1,0)</x:f>
        <x:v>1</x:v>
      </x:c>
      <x:c r="S165" s="11" t="n">
        <x:f>IF(K165="Yes",(L165-J165)/30.4375,"")</x:f>
        <x:v>21.749486652977414</x:v>
      </x:c>
      <x:c r="T165" t="str">
        <x:f>IF(AND(K165="No",P165&lt;40,O165&lt;=4),"High Risk","")</x:f>
      </x:c>
    </x:row>
    <x:row r="166">
      <x:c r="A166" t="s">
        <x:v>223</x:v>
      </x:c>
      <x:c r="B166" t="s">
        <x:v>33</x:v>
      </x:c>
      <x:c r="C166" t="s">
        <x:v>29</x:v>
      </x:c>
      <x:c r="D166" t="s">
        <x:v>39</x:v>
      </x:c>
      <x:c r="E166" t="s">
        <x:v>49</x:v>
      </x:c>
      <x:c r="F166">
        <x:v>34</x:v>
      </x:c>
      <x:c r="G166">
        <x:v>146.66999999999999</x:v>
      </x:c>
      <x:c r="H166" t="s">
        <x:v>23</x:v>
      </x:c>
      <x:c r="I166" t="s">
        <x:v>59</x:v>
      </x:c>
      <x:c r="J166" s="1">
        <x:v>45488</x:v>
      </x:c>
      <x:c r="K166" t="s">
        <x:v>27</x:v>
      </x:c>
      <x:c r="M166"/>
      <x:c r="N166">
        <x:v>12</x:v>
      </x:c>
      <x:c r="O166">
        <x:v>5</x:v>
      </x:c>
      <x:c r="P166">
        <x:v>60</x:v>
      </x:c>
      <x:c r="Q166" t="s">
        <x:v>27</x:v>
      </x:c>
      <x:c r="R166" t="n">
        <x:f>IF(subscriptions[[#This Row],[churned]]="Yes",1,0)</x:f>
        <x:v>0</x:v>
      </x:c>
      <x:c r="S166" s="11" t="str">
        <x:f>IF(K166="Yes",(L166-J166)/30.4375,"")</x:f>
      </x:c>
      <x:c r="T166" t="str">
        <x:f>IF(AND(K166="No",P166&lt;40,O166&lt;=4),"High Risk","")</x:f>
      </x:c>
    </x:row>
    <x:row r="167">
      <x:c r="A167" t="s">
        <x:v>224</x:v>
      </x:c>
      <x:c r="B167" t="s">
        <x:v>33</x:v>
      </x:c>
      <x:c r="C167" t="s">
        <x:v>20</x:v>
      </x:c>
      <x:c r="D167" t="s">
        <x:v>56</x:v>
      </x:c>
      <x:c r="E167" t="s">
        <x:v>46</x:v>
      </x:c>
      <x:c r="F167">
        <x:v>1</x:v>
      </x:c>
      <x:c r="G167">
        <x:v>29</x:v>
      </x:c>
      <x:c r="H167" t="s">
        <x:v>102</x:v>
      </x:c>
      <x:c r="I167" t="s">
        <x:v>41</x:v>
      </x:c>
      <x:c r="J167" s="1">
        <x:v>45187</x:v>
      </x:c>
      <x:c r="K167" t="s">
        <x:v>25</x:v>
      </x:c>
      <x:c r="L167" s="1">
        <x:v>45682</x:v>
      </x:c>
      <x:c r="M167" t="s">
        <x:v>67</x:v>
      </x:c>
      <x:c r="N167">
        <x:v>7</x:v>
      </x:c>
      <x:c r="O167">
        <x:v>5</x:v>
      </x:c>
      <x:c r="P167">
        <x:v>20</x:v>
      </x:c>
      <x:c r="Q167" t="s">
        <x:v>27</x:v>
      </x:c>
      <x:c r="R167" t="n">
        <x:f>IF(subscriptions[[#This Row],[churned]]="Yes",1,0)</x:f>
        <x:v>1</x:v>
      </x:c>
      <x:c r="S167" s="11" t="n">
        <x:f>IF(K167="Yes",(L167-J167)/30.4375,"")</x:f>
        <x:v>16.262833675564682</x:v>
      </x:c>
      <x:c r="T167" t="str">
        <x:f>IF(AND(K167="No",P167&lt;40,O167&lt;=4),"High Risk","")</x:f>
      </x:c>
    </x:row>
    <x:row r="168">
      <x:c r="A168" t="s">
        <x:v>225</x:v>
      </x:c>
      <x:c r="B168" t="s">
        <x:v>33</x:v>
      </x:c>
      <x:c r="C168" t="s">
        <x:v>29</x:v>
      </x:c>
      <x:c r="D168" t="s">
        <x:v>72</x:v>
      </x:c>
      <x:c r="E168" t="s">
        <x:v>22</x:v>
      </x:c>
      <x:c r="F168">
        <x:v>40</x:v>
      </x:c>
      <x:c r="G168">
        <x:v>168.85</x:v>
      </x:c>
      <x:c r="H168" t="s">
        <x:v>23</x:v>
      </x:c>
      <x:c r="I168" t="s">
        <x:v>24</x:v>
      </x:c>
      <x:c r="J168" s="1">
        <x:v>45650</x:v>
      </x:c>
      <x:c r="K168" t="s">
        <x:v>27</x:v>
      </x:c>
      <x:c r="M168"/>
      <x:c r="N168">
        <x:v>10</x:v>
      </x:c>
      <x:c r="O168">
        <x:v>6</x:v>
      </x:c>
      <x:c r="P168">
        <x:v>35</x:v>
      </x:c>
      <x:c r="Q168" t="s">
        <x:v>27</x:v>
      </x:c>
      <x:c r="R168" t="n">
        <x:f>IF(subscriptions[[#This Row],[churned]]="Yes",1,0)</x:f>
        <x:v>0</x:v>
      </x:c>
      <x:c r="S168" s="11" t="str">
        <x:f>IF(K168="Yes",(L168-J168)/30.4375,"")</x:f>
      </x:c>
      <x:c r="T168" t="str">
        <x:f>IF(AND(K168="No",P168&lt;40,O168&lt;=4),"High Risk","")</x:f>
      </x:c>
    </x:row>
    <x:row r="169">
      <x:c r="A169" t="s">
        <x:v>226</x:v>
      </x:c>
      <x:c r="B169" t="s">
        <x:v>38</x:v>
      </x:c>
      <x:c r="C169" t="s">
        <x:v>20</x:v>
      </x:c>
      <x:c r="D169" t="s">
        <x:v>72</x:v>
      </x:c>
      <x:c r="E169" t="s">
        <x:v>40</x:v>
      </x:c>
      <x:c r="F169">
        <x:v>29</x:v>
      </x:c>
      <x:c r="G169">
        <x:v>1034.8</x:v>
      </x:c>
      <x:c r="H169" t="s">
        <x:v>36</x:v>
      </x:c>
      <x:c r="I169" t="s">
        <x:v>41</x:v>
      </x:c>
      <x:c r="J169" s="1">
        <x:v>45021</x:v>
      </x:c>
      <x:c r="K169" t="s">
        <x:v>25</x:v>
      </x:c>
      <x:c r="L169" s="1">
        <x:v>45045</x:v>
      </x:c>
      <x:c r="M169" t="s">
        <x:v>67</x:v>
      </x:c>
      <x:c r="N169">
        <x:v>12</x:v>
      </x:c>
      <x:c r="O169">
        <x:v>6</x:v>
      </x:c>
      <x:c r="P169">
        <x:v>45</x:v>
      </x:c>
      <x:c r="Q169" t="s">
        <x:v>27</x:v>
      </x:c>
      <x:c r="R169" t="n">
        <x:f>IF(subscriptions[[#This Row],[churned]]="Yes",1,0)</x:f>
        <x:v>1</x:v>
      </x:c>
      <x:c r="S169" s="11" t="n">
        <x:f>IF(K169="Yes",(L169-J169)/30.4375,"")</x:f>
        <x:v>0.7885010266940452</x:v>
      </x:c>
      <x:c r="T169" t="str">
        <x:f>IF(AND(K169="No",P169&lt;40,O169&lt;=4),"High Risk","")</x:f>
      </x:c>
    </x:row>
    <x:row r="170">
      <x:c r="A170" t="s">
        <x:v>227</x:v>
      </x:c>
      <x:c r="B170" t="s">
        <x:v>38</x:v>
      </x:c>
      <x:c r="C170" t="s">
        <x:v>29</x:v>
      </x:c>
      <x:c r="D170" t="s">
        <x:v>83</x:v>
      </x:c>
      <x:c r="E170" t="s">
        <x:v>40</x:v>
      </x:c>
      <x:c r="F170">
        <x:v>5</x:v>
      </x:c>
      <x:c r="G170">
        <x:v>270.64</x:v>
      </x:c>
      <x:c r="H170" t="s">
        <x:v>64</x:v>
      </x:c>
      <x:c r="I170" t="s">
        <x:v>24</x:v>
      </x:c>
      <x:c r="J170" s="1">
        <x:v>45266</x:v>
      </x:c>
      <x:c r="K170" t="s">
        <x:v>27</x:v>
      </x:c>
      <x:c r="M170"/>
      <x:c r="N170">
        <x:v>0</x:v>
      </x:c>
      <x:c r="O170">
        <x:v>1</x:v>
      </x:c>
      <x:c r="P170">
        <x:v>55</x:v>
      </x:c>
      <x:c r="Q170" t="s">
        <x:v>25</x:v>
      </x:c>
      <x:c r="R170" t="n">
        <x:f>IF(subscriptions[[#This Row],[churned]]="Yes",1,0)</x:f>
        <x:v>0</x:v>
      </x:c>
      <x:c r="S170" s="11" t="str">
        <x:f>IF(K170="Yes",(L170-J170)/30.4375,"")</x:f>
      </x:c>
      <x:c r="T170" t="str">
        <x:f>IF(AND(K170="No",P170&lt;40,O170&lt;=4),"High Risk","")</x:f>
      </x:c>
    </x:row>
    <x:row r="171">
      <x:c r="A171" t="s">
        <x:v>228</x:v>
      </x:c>
      <x:c r="B171" t="s">
        <x:v>38</x:v>
      </x:c>
      <x:c r="C171" t="s">
        <x:v>20</x:v>
      </x:c>
      <x:c r="D171" t="s">
        <x:v>53</x:v>
      </x:c>
      <x:c r="E171" t="s">
        <x:v>40</x:v>
      </x:c>
      <x:c r="F171">
        <x:v>32</x:v>
      </x:c>
      <x:c r="G171">
        <x:v>1124.3499999999999</x:v>
      </x:c>
      <x:c r="H171" t="s">
        <x:v>102</x:v>
      </x:c>
      <x:c r="I171" t="s">
        <x:v>59</x:v>
      </x:c>
      <x:c r="J171" s="1">
        <x:v>45582</x:v>
      </x:c>
      <x:c r="K171" t="s">
        <x:v>27</x:v>
      </x:c>
      <x:c r="M171"/>
      <x:c r="N171">
        <x:v>1</x:v>
      </x:c>
      <x:c r="O171">
        <x:v>1</x:v>
      </x:c>
      <x:c r="P171">
        <x:v>91</x:v>
      </x:c>
      <x:c r="Q171" t="s">
        <x:v>27</x:v>
      </x:c>
      <x:c r="R171" t="n">
        <x:f>IF(subscriptions[[#This Row],[churned]]="Yes",1,0)</x:f>
        <x:v>0</x:v>
      </x:c>
      <x:c r="S171" s="11" t="str">
        <x:f>IF(K171="Yes",(L171-J171)/30.4375,"")</x:f>
      </x:c>
      <x:c r="T171" t="str">
        <x:f>IF(AND(K171="No",P171&lt;40,O171&lt;=4),"High Risk","")</x:f>
      </x:c>
    </x:row>
    <x:row r="172">
      <x:c r="A172" t="s">
        <x:v>229</x:v>
      </x:c>
      <x:c r="B172" t="s">
        <x:v>33</x:v>
      </x:c>
      <x:c r="C172" t="s">
        <x:v>20</x:v>
      </x:c>
      <x:c r="D172" t="s">
        <x:v>34</x:v>
      </x:c>
      <x:c r="E172" t="s">
        <x:v>46</x:v>
      </x:c>
      <x:c r="F172">
        <x:v>7</x:v>
      </x:c>
      <x:c r="G172">
        <x:v>55.1</x:v>
      </x:c>
      <x:c r="H172" t="s">
        <x:v>23</x:v>
      </x:c>
      <x:c r="I172" t="s">
        <x:v>41</x:v>
      </x:c>
      <x:c r="J172" s="1">
        <x:v>44822</x:v>
      </x:c>
      <x:c r="K172" t="s">
        <x:v>25</x:v>
      </x:c>
      <x:c r="L172" s="1">
        <x:v>45138</x:v>
      </x:c>
      <x:c r="M172" t="s">
        <x:v>57</x:v>
      </x:c>
      <x:c r="N172">
        <x:v>3</x:v>
      </x:c>
      <x:c r="O172">
        <x:v>2</x:v>
      </x:c>
      <x:c r="P172">
        <x:v>24</x:v>
      </x:c>
      <x:c r="Q172" t="s">
        <x:v>27</x:v>
      </x:c>
      <x:c r="R172" t="n">
        <x:f>IF(subscriptions[[#This Row],[churned]]="Yes",1,0)</x:f>
        <x:v>1</x:v>
      </x:c>
      <x:c r="S172" s="11" t="n">
        <x:f>IF(K172="Yes",(L172-J172)/30.4375,"")</x:f>
        <x:v>10.381930184804927</x:v>
      </x:c>
      <x:c r="T172" t="str">
        <x:f>IF(AND(K172="No",P172&lt;40,O172&lt;=4),"High Risk","")</x:f>
      </x:c>
    </x:row>
    <x:row r="173">
      <x:c r="A173" t="s">
        <x:v>230</x:v>
      </x:c>
      <x:c r="B173" t="s">
        <x:v>38</x:v>
      </x:c>
      <x:c r="C173" t="s">
        <x:v>20</x:v>
      </x:c>
      <x:c r="D173" t="s">
        <x:v>56</x:v>
      </x:c>
      <x:c r="E173" t="s">
        <x:v>46</x:v>
      </x:c>
      <x:c r="F173">
        <x:v>5</x:v>
      </x:c>
      <x:c r="G173">
        <x:v>318.39999999999998</x:v>
      </x:c>
      <x:c r="H173" t="s">
        <x:v>47</x:v>
      </x:c>
      <x:c r="I173" t="s">
        <x:v>24</x:v>
      </x:c>
      <x:c r="J173" s="1">
        <x:v>44752</x:v>
      </x:c>
      <x:c r="K173" t="s">
        <x:v>25</x:v>
      </x:c>
      <x:c r="L173" s="1">
        <x:v>45420</x:v>
      </x:c>
      <x:c r="M173" t="s">
        <x:v>67</x:v>
      </x:c>
      <x:c r="N173">
        <x:v>14</x:v>
      </x:c>
      <x:c r="O173">
        <x:v>3</x:v>
      </x:c>
      <x:c r="P173">
        <x:v>38</x:v>
      </x:c>
      <x:c r="Q173" t="s">
        <x:v>27</x:v>
      </x:c>
      <x:c r="R173" t="n">
        <x:f>IF(subscriptions[[#This Row],[churned]]="Yes",1,0)</x:f>
        <x:v>1</x:v>
      </x:c>
      <x:c r="S173" s="11" t="n">
        <x:f>IF(K173="Yes",(L173-J173)/30.4375,"")</x:f>
        <x:v>21.946611909650922</x:v>
      </x:c>
      <x:c r="T173" t="str">
        <x:f>IF(AND(K173="No",P173&lt;40,O173&lt;=4),"High Risk","")</x:f>
      </x:c>
    </x:row>
    <x:row r="174">
      <x:c r="A174" t="s">
        <x:v>231</x:v>
      </x:c>
      <x:c r="B174" t="s">
        <x:v>19</x:v>
      </x:c>
      <x:c r="C174" t="s">
        <x:v>29</x:v>
      </x:c>
      <x:c r="D174" t="s">
        <x:v>53</x:v>
      </x:c>
      <x:c r="E174" t="s">
        <x:v>46</x:v>
      </x:c>
      <x:c r="F174">
        <x:v>6</x:v>
      </x:c>
      <x:c r="G174">
        <x:v>117.51</x:v>
      </x:c>
      <x:c r="H174" t="s">
        <x:v>102</x:v>
      </x:c>
      <x:c r="I174" t="s">
        <x:v>59</x:v>
      </x:c>
      <x:c r="J174" s="1">
        <x:v>45549</x:v>
      </x:c>
      <x:c r="K174" t="s">
        <x:v>27</x:v>
      </x:c>
      <x:c r="M174"/>
      <x:c r="N174">
        <x:v>12</x:v>
      </x:c>
      <x:c r="O174">
        <x:v>9</x:v>
      </x:c>
      <x:c r="P174">
        <x:v>38</x:v>
      </x:c>
      <x:c r="Q174" t="s">
        <x:v>27</x:v>
      </x:c>
      <x:c r="R174" t="n">
        <x:f>IF(subscriptions[[#This Row],[churned]]="Yes",1,0)</x:f>
        <x:v>0</x:v>
      </x:c>
      <x:c r="S174" s="11" t="str">
        <x:f>IF(K174="Yes",(L174-J174)/30.4375,"")</x:f>
      </x:c>
      <x:c r="T174" t="str">
        <x:f>IF(AND(K174="No",P174&lt;40,O174&lt;=4),"High Risk","")</x:f>
      </x:c>
    </x:row>
    <x:row r="175">
      <x:c r="A175" t="s">
        <x:v>232</x:v>
      </x:c>
      <x:c r="B175" t="s">
        <x:v>75</x:v>
      </x:c>
      <x:c r="C175" t="s">
        <x:v>29</x:v>
      </x:c>
      <x:c r="D175" t="s">
        <x:v>66</x:v>
      </x:c>
      <x:c r="E175" t="s">
        <x:v>49</x:v>
      </x:c>
      <x:c r="F175">
        <x:v>65</x:v>
      </x:c>
      <x:c r="G175">
        <x:v>4495.99</x:v>
      </x:c>
      <x:c r="H175" t="s">
        <x:v>64</x:v>
      </x:c>
      <x:c r="I175" t="s">
        <x:v>24</x:v>
      </x:c>
      <x:c r="J175" s="1">
        <x:v>45626</x:v>
      </x:c>
      <x:c r="K175" t="s">
        <x:v>27</x:v>
      </x:c>
      <x:c r="M175"/>
      <x:c r="N175">
        <x:v>10</x:v>
      </x:c>
      <x:c r="O175">
        <x:v>2</x:v>
      </x:c>
      <x:c r="P175">
        <x:v>91</x:v>
      </x:c>
      <x:c r="Q175" t="s">
        <x:v>27</x:v>
      </x:c>
      <x:c r="R175" t="n">
        <x:f>IF(subscriptions[[#This Row],[churned]]="Yes",1,0)</x:f>
        <x:v>0</x:v>
      </x:c>
      <x:c r="S175" s="11" t="str">
        <x:f>IF(K175="Yes",(L175-J175)/30.4375,"")</x:f>
      </x:c>
      <x:c r="T175" t="str">
        <x:f>IF(AND(K175="No",P175&lt;40,O175&lt;=4),"High Risk","")</x:f>
      </x:c>
    </x:row>
    <x:row r="176">
      <x:c r="A176" t="s">
        <x:v>233</x:v>
      </x:c>
      <x:c r="B176" t="s">
        <x:v>38</x:v>
      </x:c>
      <x:c r="C176" t="s">
        <x:v>29</x:v>
      </x:c>
      <x:c r="D176" t="s">
        <x:v>83</x:v>
      </x:c>
      <x:c r="E176" t="s">
        <x:v>22</x:v>
      </x:c>
      <x:c r="F176">
        <x:v>50</x:v>
      </x:c>
      <x:c r="G176">
        <x:v>1412.4</x:v>
      </x:c>
      <x:c r="H176" t="s">
        <x:v>30</x:v>
      </x:c>
      <x:c r="I176" t="s">
        <x:v>24</x:v>
      </x:c>
      <x:c r="J176" s="1">
        <x:v>44845</x:v>
      </x:c>
      <x:c r="K176" t="s">
        <x:v>27</x:v>
      </x:c>
      <x:c r="M176"/>
      <x:c r="N176">
        <x:v>12</x:v>
      </x:c>
      <x:c r="O176">
        <x:v>8</x:v>
      </x:c>
      <x:c r="P176">
        <x:v>26</x:v>
      </x:c>
      <x:c r="Q176" t="s">
        <x:v>27</x:v>
      </x:c>
      <x:c r="R176" t="n">
        <x:f>IF(subscriptions[[#This Row],[churned]]="Yes",1,0)</x:f>
        <x:v>0</x:v>
      </x:c>
      <x:c r="S176" s="11" t="str">
        <x:f>IF(K176="Yes",(L176-J176)/30.4375,"")</x:f>
      </x:c>
      <x:c r="T176" t="str">
        <x:f>IF(AND(K176="No",P176&lt;40,O176&lt;=4),"High Risk","")</x:f>
      </x:c>
    </x:row>
    <x:row r="177">
      <x:c r="A177" t="s">
        <x:v>234</x:v>
      </x:c>
      <x:c r="B177" t="s">
        <x:v>33</x:v>
      </x:c>
      <x:c r="C177" t="s">
        <x:v>20</x:v>
      </x:c>
      <x:c r="D177" t="s">
        <x:v>53</x:v>
      </x:c>
      <x:c r="E177" t="s">
        <x:v>35</x:v>
      </x:c>
      <x:c r="F177">
        <x:v>205</x:v>
      </x:c>
      <x:c r="G177">
        <x:v>916.4</x:v>
      </x:c>
      <x:c r="H177" t="s">
        <x:v>102</x:v>
      </x:c>
      <x:c r="I177" t="s">
        <x:v>24</x:v>
      </x:c>
      <x:c r="J177" s="1">
        <x:v>45144</x:v>
      </x:c>
      <x:c r="K177" t="s">
        <x:v>25</x:v>
      </x:c>
      <x:c r="L177" s="1">
        <x:v>45180</x:v>
      </x:c>
      <x:c r="M177" t="s">
        <x:v>57</x:v>
      </x:c>
      <x:c r="N177">
        <x:v>7</x:v>
      </x:c>
      <x:c r="O177">
        <x:v>3</x:v>
      </x:c>
      <x:c r="P177">
        <x:v>19</x:v>
      </x:c>
      <x:c r="Q177" t="s">
        <x:v>27</x:v>
      </x:c>
      <x:c r="R177" t="n">
        <x:f>IF(subscriptions[[#This Row],[churned]]="Yes",1,0)</x:f>
        <x:v>1</x:v>
      </x:c>
      <x:c r="S177" s="11" t="n">
        <x:f>IF(K177="Yes",(L177-J177)/30.4375,"")</x:f>
        <x:v>1.1827515400410678</x:v>
      </x:c>
      <x:c r="T177" t="str">
        <x:f>IF(AND(K177="No",P177&lt;40,O177&lt;=4),"High Risk","")</x:f>
      </x:c>
    </x:row>
    <x:row r="178">
      <x:c r="A178" t="s">
        <x:v>235</x:v>
      </x:c>
      <x:c r="B178" t="s">
        <x:v>19</x:v>
      </x:c>
      <x:c r="C178" t="s">
        <x:v>20</x:v>
      </x:c>
      <x:c r="D178" t="s">
        <x:v>45</x:v>
      </x:c>
      <x:c r="E178" t="s">
        <x:v>35</x:v>
      </x:c>
      <x:c r="F178">
        <x:v>239</x:v>
      </x:c>
      <x:c r="G178">
        <x:v>2899.3</x:v>
      </x:c>
      <x:c r="H178" t="s">
        <x:v>36</x:v>
      </x:c>
      <x:c r="I178" t="s">
        <x:v>59</x:v>
      </x:c>
      <x:c r="J178" s="1">
        <x:v>45632</x:v>
      </x:c>
      <x:c r="K178" t="s">
        <x:v>25</x:v>
      </x:c>
      <x:c r="L178" s="1">
        <x:v>45970</x:v>
      </x:c>
      <x:c r="M178" t="s">
        <x:v>50</x:v>
      </x:c>
      <x:c r="N178">
        <x:v>4</x:v>
      </x:c>
      <x:c r="O178">
        <x:v>6</x:v>
      </x:c>
      <x:c r="P178">
        <x:v>14</x:v>
      </x:c>
      <x:c r="Q178" t="s">
        <x:v>27</x:v>
      </x:c>
      <x:c r="R178" t="n">
        <x:f>IF(subscriptions[[#This Row],[churned]]="Yes",1,0)</x:f>
        <x:v>1</x:v>
      </x:c>
      <x:c r="S178" s="11" t="n">
        <x:f>IF(K178="Yes",(L178-J178)/30.4375,"")</x:f>
        <x:v>11.104722792607802</x:v>
      </x:c>
      <x:c r="T178" t="str">
        <x:f>IF(AND(K178="No",P178&lt;40,O178&lt;=4),"High Risk","")</x:f>
      </x:c>
    </x:row>
    <x:row r="179">
      <x:c r="A179" t="s">
        <x:v>236</x:v>
      </x:c>
      <x:c r="B179" t="s">
        <x:v>19</x:v>
      </x:c>
      <x:c r="C179" t="s">
        <x:v>29</x:v>
      </x:c>
      <x:c r="D179" t="s">
        <x:v>43</x:v>
      </x:c>
      <x:c r="E179" t="s">
        <x:v>40</x:v>
      </x:c>
      <x:c r="F179">
        <x:v>31</x:v>
      </x:c>
      <x:c r="G179">
        <x:v>369.33</x:v>
      </x:c>
      <x:c r="H179" t="s">
        <x:v>30</x:v>
      </x:c>
      <x:c r="I179" t="s">
        <x:v>59</x:v>
      </x:c>
      <x:c r="J179" s="1">
        <x:v>45546</x:v>
      </x:c>
      <x:c r="K179" t="s">
        <x:v>27</x:v>
      </x:c>
      <x:c r="M179"/>
      <x:c r="N179">
        <x:v>4</x:v>
      </x:c>
      <x:c r="O179">
        <x:v>6</x:v>
      </x:c>
      <x:c r="P179">
        <x:v>81</x:v>
      </x:c>
      <x:c r="Q179" t="s">
        <x:v>27</x:v>
      </x:c>
      <x:c r="R179" t="n">
        <x:f>IF(subscriptions[[#This Row],[churned]]="Yes",1,0)</x:f>
        <x:v>0</x:v>
      </x:c>
      <x:c r="S179" s="11" t="str">
        <x:f>IF(K179="Yes",(L179-J179)/30.4375,"")</x:f>
      </x:c>
      <x:c r="T179" t="str">
        <x:f>IF(AND(K179="No",P179&lt;40,O179&lt;=4),"High Risk","")</x:f>
      </x:c>
    </x:row>
    <x:row r="180">
      <x:c r="A180" t="s">
        <x:v>237</x:v>
      </x:c>
      <x:c r="B180" t="s">
        <x:v>33</x:v>
      </x:c>
      <x:c r="C180" t="s">
        <x:v>20</x:v>
      </x:c>
      <x:c r="D180" t="s">
        <x:v>83</x:v>
      </x:c>
      <x:c r="E180" t="s">
        <x:v>22</x:v>
      </x:c>
      <x:c r="F180">
        <x:v>67</x:v>
      </x:c>
      <x:c r="G180">
        <x:v>316.10000000000002</x:v>
      </x:c>
      <x:c r="H180" t="s">
        <x:v>47</x:v>
      </x:c>
      <x:c r="I180" t="s">
        <x:v>41</x:v>
      </x:c>
      <x:c r="J180" s="1">
        <x:v>45468</x:v>
      </x:c>
      <x:c r="K180" t="s">
        <x:v>27</x:v>
      </x:c>
      <x:c r="M180"/>
      <x:c r="N180">
        <x:v>3</x:v>
      </x:c>
      <x:c r="O180">
        <x:v>10</x:v>
      </x:c>
      <x:c r="P180">
        <x:v>26</x:v>
      </x:c>
      <x:c r="Q180" t="s">
        <x:v>27</x:v>
      </x:c>
      <x:c r="R180" t="n">
        <x:f>IF(subscriptions[[#This Row],[churned]]="Yes",1,0)</x:f>
        <x:v>0</x:v>
      </x:c>
      <x:c r="S180" s="11" t="str">
        <x:f>IF(K180="Yes",(L180-J180)/30.4375,"")</x:f>
      </x:c>
      <x:c r="T180" t="str">
        <x:f>IF(AND(K180="No",P180&lt;40,O180&lt;=4),"High Risk","")</x:f>
      </x:c>
    </x:row>
    <x:row r="181">
      <x:c r="A181" t="s">
        <x:v>238</x:v>
      </x:c>
      <x:c r="B181" t="s">
        <x:v>19</x:v>
      </x:c>
      <x:c r="C181" t="s">
        <x:v>29</x:v>
      </x:c>
      <x:c r="D181" t="s">
        <x:v>39</x:v>
      </x:c>
      <x:c r="E181" t="s">
        <x:v>22</x:v>
      </x:c>
      <x:c r="F181">
        <x:v>29</x:v>
      </x:c>
      <x:c r="G181">
        <x:v>349.18</x:v>
      </x:c>
      <x:c r="H181" t="s">
        <x:v>47</x:v>
      </x:c>
      <x:c r="I181" t="s">
        <x:v>24</x:v>
      </x:c>
      <x:c r="J181" s="1">
        <x:v>44846</x:v>
      </x:c>
      <x:c r="K181" t="s">
        <x:v>25</x:v>
      </x:c>
      <x:c r="L181" s="1">
        <x:v>45741</x:v>
      </x:c>
      <x:c r="M181" t="s">
        <x:v>57</x:v>
      </x:c>
      <x:c r="N181">
        <x:v>2</x:v>
      </x:c>
      <x:c r="O181">
        <x:v>5</x:v>
      </x:c>
      <x:c r="P181">
        <x:v>42</x:v>
      </x:c>
      <x:c r="Q181" t="s">
        <x:v>27</x:v>
      </x:c>
      <x:c r="R181" t="n">
        <x:f>IF(subscriptions[[#This Row],[churned]]="Yes",1,0)</x:f>
        <x:v>1</x:v>
      </x:c>
      <x:c r="S181" s="11" t="n">
        <x:f>IF(K181="Yes",(L181-J181)/30.4375,"")</x:f>
        <x:v>29.404517453798768</x:v>
      </x:c>
      <x:c r="T181" t="str">
        <x:f>IF(AND(K181="No",P181&lt;40,O181&lt;=4),"High Risk","")</x:f>
      </x:c>
    </x:row>
    <x:row r="182">
      <x:c r="A182" t="s">
        <x:v>239</x:v>
      </x:c>
      <x:c r="B182" t="s">
        <x:v>19</x:v>
      </x:c>
      <x:c r="C182" t="s">
        <x:v>20</x:v>
      </x:c>
      <x:c r="D182" t="s">
        <x:v>66</x:v>
      </x:c>
      <x:c r="E182" t="s">
        <x:v>46</x:v>
      </x:c>
      <x:c r="F182">
        <x:v>4</x:v>
      </x:c>
      <x:c r="G182">
        <x:v>114.55</x:v>
      </x:c>
      <x:c r="H182" t="s">
        <x:v>64</x:v>
      </x:c>
      <x:c r="I182" t="s">
        <x:v>24</x:v>
      </x:c>
      <x:c r="J182" s="1">
        <x:v>45330</x:v>
      </x:c>
      <x:c r="K182" t="s">
        <x:v>25</x:v>
      </x:c>
      <x:c r="L182" s="1">
        <x:v>45405</x:v>
      </x:c>
      <x:c r="M182" t="s">
        <x:v>26</x:v>
      </x:c>
      <x:c r="N182">
        <x:v>9</x:v>
      </x:c>
      <x:c r="O182">
        <x:v>4</x:v>
      </x:c>
      <x:c r="P182">
        <x:v>44</x:v>
      </x:c>
      <x:c r="Q182" t="s">
        <x:v>27</x:v>
      </x:c>
      <x:c r="R182" t="n">
        <x:f>IF(subscriptions[[#This Row],[churned]]="Yes",1,0)</x:f>
        <x:v>1</x:v>
      </x:c>
      <x:c r="S182" s="11" t="n">
        <x:f>IF(K182="Yes",(L182-J182)/30.4375,"")</x:f>
        <x:v>2.4640657084188913</x:v>
      </x:c>
      <x:c r="T182" t="str">
        <x:f>IF(AND(K182="No",P182&lt;40,O182&lt;=4),"High Risk","")</x:f>
      </x:c>
    </x:row>
    <x:row r="183">
      <x:c r="A183" t="s">
        <x:v>240</x:v>
      </x:c>
      <x:c r="B183" t="s">
        <x:v>19</x:v>
      </x:c>
      <x:c r="C183" t="s">
        <x:v>29</x:v>
      </x:c>
      <x:c r="D183" t="s">
        <x:v>39</x:v>
      </x:c>
      <x:c r="E183" t="s">
        <x:v>22</x:v>
      </x:c>
      <x:c r="F183">
        <x:v>76</x:v>
      </x:c>
      <x:c r="G183">
        <x:v>822.59</x:v>
      </x:c>
      <x:c r="H183" t="s">
        <x:v>36</x:v>
      </x:c>
      <x:c r="I183" t="s">
        <x:v>41</x:v>
      </x:c>
      <x:c r="J183" s="1">
        <x:v>45414</x:v>
      </x:c>
      <x:c r="K183" t="s">
        <x:v>27</x:v>
      </x:c>
      <x:c r="M183"/>
      <x:c r="N183">
        <x:v>9</x:v>
      </x:c>
      <x:c r="O183">
        <x:v>6</x:v>
      </x:c>
      <x:c r="P183">
        <x:v>37</x:v>
      </x:c>
      <x:c r="Q183" t="s">
        <x:v>27</x:v>
      </x:c>
      <x:c r="R183" t="n">
        <x:f>IF(subscriptions[[#This Row],[churned]]="Yes",1,0)</x:f>
        <x:v>0</x:v>
      </x:c>
      <x:c r="S183" s="11" t="str">
        <x:f>IF(K183="Yes",(L183-J183)/30.4375,"")</x:f>
      </x:c>
      <x:c r="T183" t="str">
        <x:f>IF(AND(K183="No",P183&lt;40,O183&lt;=4),"High Risk","")</x:f>
      </x:c>
    </x:row>
    <x:row r="184">
      <x:c r="A184" t="s">
        <x:v>241</x:v>
      </x:c>
      <x:c r="B184" t="s">
        <x:v>33</x:v>
      </x:c>
      <x:c r="C184" t="s">
        <x:v>29</x:v>
      </x:c>
      <x:c r="D184" t="s">
        <x:v>66</x:v>
      </x:c>
      <x:c r="E184" t="s">
        <x:v>49</x:v>
      </x:c>
      <x:c r="F184">
        <x:v>83</x:v>
      </x:c>
      <x:c r="G184">
        <x:v>327.84</x:v>
      </x:c>
      <x:c r="H184" t="s">
        <x:v>36</x:v>
      </x:c>
      <x:c r="I184" t="s">
        <x:v>24</x:v>
      </x:c>
      <x:c r="J184" s="1">
        <x:v>45200</x:v>
      </x:c>
      <x:c r="K184" t="s">
        <x:v>25</x:v>
      </x:c>
      <x:c r="L184" s="1">
        <x:v>45663</x:v>
      </x:c>
      <x:c r="M184" t="s">
        <x:v>57</x:v>
      </x:c>
      <x:c r="N184">
        <x:v>8</x:v>
      </x:c>
      <x:c r="O184">
        <x:v>4</x:v>
      </x:c>
      <x:c r="P184">
        <x:v>26</x:v>
      </x:c>
      <x:c r="Q184" t="s">
        <x:v>27</x:v>
      </x:c>
      <x:c r="R184" t="n">
        <x:f>IF(subscriptions[[#This Row],[churned]]="Yes",1,0)</x:f>
        <x:v>1</x:v>
      </x:c>
      <x:c r="S184" s="11" t="n">
        <x:f>IF(K184="Yes",(L184-J184)/30.4375,"")</x:f>
        <x:v>15.211498973305956</x:v>
      </x:c>
      <x:c r="T184" t="str">
        <x:f>IF(AND(K184="No",P184&lt;40,O184&lt;=4),"High Risk","")</x:f>
      </x:c>
    </x:row>
    <x:row r="185">
      <x:c r="A185" t="s">
        <x:v>242</x:v>
      </x:c>
      <x:c r="B185" t="s">
        <x:v>33</x:v>
      </x:c>
      <x:c r="C185" t="s">
        <x:v>20</x:v>
      </x:c>
      <x:c r="D185" t="s">
        <x:v>43</x:v>
      </x:c>
      <x:c r="E185" t="s">
        <x:v>46</x:v>
      </x:c>
      <x:c r="F185">
        <x:v>7</x:v>
      </x:c>
      <x:c r="G185">
        <x:v>55.1</x:v>
      </x:c>
      <x:c r="H185" t="s">
        <x:v>36</x:v>
      </x:c>
      <x:c r="I185" t="s">
        <x:v>41</x:v>
      </x:c>
      <x:c r="J185" s="1">
        <x:v>45616</x:v>
      </x:c>
      <x:c r="K185" t="s">
        <x:v>27</x:v>
      </x:c>
      <x:c r="M185"/>
      <x:c r="N185">
        <x:v>8</x:v>
      </x:c>
      <x:c r="O185">
        <x:v>2</x:v>
      </x:c>
      <x:c r="P185">
        <x:v>63</x:v>
      </x:c>
      <x:c r="Q185" t="s">
        <x:v>27</x:v>
      </x:c>
      <x:c r="R185" t="n">
        <x:f>IF(subscriptions[[#This Row],[churned]]="Yes",1,0)</x:f>
        <x:v>0</x:v>
      </x:c>
      <x:c r="S185" s="11" t="str">
        <x:f>IF(K185="Yes",(L185-J185)/30.4375,"")</x:f>
      </x:c>
      <x:c r="T185" t="str">
        <x:f>IF(AND(K185="No",P185&lt;40,O185&lt;=4),"High Risk","")</x:f>
      </x:c>
    </x:row>
    <x:row r="186">
      <x:c r="A186" t="s">
        <x:v>243</x:v>
      </x:c>
      <x:c r="B186" t="s">
        <x:v>19</x:v>
      </x:c>
      <x:c r="C186" t="s">
        <x:v>29</x:v>
      </x:c>
      <x:c r="D186" t="s">
        <x:v>53</x:v>
      </x:c>
      <x:c r="E186" t="s">
        <x:v>49</x:v>
      </x:c>
      <x:c r="F186">
        <x:v>96</x:v>
      </x:c>
      <x:c r="G186">
        <x:v>1024.04</x:v>
      </x:c>
      <x:c r="H186" t="s">
        <x:v>47</x:v>
      </x:c>
      <x:c r="I186" t="s">
        <x:v>24</x:v>
      </x:c>
      <x:c r="J186" s="1">
        <x:v>45978</x:v>
      </x:c>
      <x:c r="K186" t="s">
        <x:v>27</x:v>
      </x:c>
      <x:c r="M186"/>
      <x:c r="N186">
        <x:v>3</x:v>
      </x:c>
      <x:c r="O186">
        <x:v>8</x:v>
      </x:c>
      <x:c r="P186">
        <x:v>48</x:v>
      </x:c>
      <x:c r="Q186" t="s">
        <x:v>27</x:v>
      </x:c>
      <x:c r="R186" t="n">
        <x:f>IF(subscriptions[[#This Row],[churned]]="Yes",1,0)</x:f>
        <x:v>0</x:v>
      </x:c>
      <x:c r="S186" s="11" t="str">
        <x:f>IF(K186="Yes",(L186-J186)/30.4375,"")</x:f>
      </x:c>
      <x:c r="T186" t="str">
        <x:f>IF(AND(K186="No",P186&lt;40,O186&lt;=4),"High Risk","")</x:f>
      </x:c>
    </x:row>
    <x:row r="187">
      <x:c r="A187" t="s">
        <x:v>244</x:v>
      </x:c>
      <x:c r="B187" t="s">
        <x:v>38</x:v>
      </x:c>
      <x:c r="C187" t="s">
        <x:v>20</x:v>
      </x:c>
      <x:c r="D187" t="s">
        <x:v>34</x:v>
      </x:c>
      <x:c r="E187" t="s">
        <x:v>46</x:v>
      </x:c>
      <x:c r="F187">
        <x:v>6</x:v>
      </x:c>
      <x:c r="G187">
        <x:v>348.25</x:v>
      </x:c>
      <x:c r="H187" t="s">
        <x:v>36</x:v>
      </x:c>
      <x:c r="I187" t="s">
        <x:v>59</x:v>
      </x:c>
      <x:c r="J187" s="1">
        <x:v>45833</x:v>
      </x:c>
      <x:c r="K187" t="s">
        <x:v>25</x:v>
      </x:c>
      <x:c r="L187" s="1">
        <x:v>45989</x:v>
      </x:c>
      <x:c r="M187" t="s">
        <x:v>57</x:v>
      </x:c>
      <x:c r="N187">
        <x:v>3</x:v>
      </x:c>
      <x:c r="O187">
        <x:v>2</x:v>
      </x:c>
      <x:c r="P187">
        <x:v>17</x:v>
      </x:c>
      <x:c r="Q187" t="s">
        <x:v>27</x:v>
      </x:c>
      <x:c r="R187" t="n">
        <x:f>IF(subscriptions[[#This Row],[churned]]="Yes",1,0)</x:f>
        <x:v>1</x:v>
      </x:c>
      <x:c r="S187" s="11" t="n">
        <x:f>IF(K187="Yes",(L187-J187)/30.4375,"")</x:f>
        <x:v>5.125256673511293</x:v>
      </x:c>
      <x:c r="T187" t="str">
        <x:f>IF(AND(K187="No",P187&lt;40,O187&lt;=4),"High Risk","")</x:f>
      </x:c>
    </x:row>
    <x:row r="188">
      <x:c r="A188" t="s">
        <x:v>245</x:v>
      </x:c>
      <x:c r="B188" t="s">
        <x:v>19</x:v>
      </x:c>
      <x:c r="C188" t="s">
        <x:v>20</x:v>
      </x:c>
      <x:c r="D188" t="s">
        <x:v>66</x:v>
      </x:c>
      <x:c r="E188" t="s">
        <x:v>46</x:v>
      </x:c>
      <x:c r="F188">
        <x:v>4</x:v>
      </x:c>
      <x:c r="G188">
        <x:v>114.55</x:v>
      </x:c>
      <x:c r="H188" t="s">
        <x:v>64</x:v>
      </x:c>
      <x:c r="I188" t="s">
        <x:v>59</x:v>
      </x:c>
      <x:c r="J188" s="1">
        <x:v>45545</x:v>
      </x:c>
      <x:c r="K188" t="s">
        <x:v>25</x:v>
      </x:c>
      <x:c r="L188" s="1">
        <x:v>45626</x:v>
      </x:c>
      <x:c r="M188" t="s">
        <x:v>26</x:v>
      </x:c>
      <x:c r="N188">
        <x:v>9</x:v>
      </x:c>
      <x:c r="O188">
        <x:v>3</x:v>
      </x:c>
      <x:c r="P188">
        <x:v>24</x:v>
      </x:c>
      <x:c r="Q188" t="s">
        <x:v>27</x:v>
      </x:c>
      <x:c r="R188" t="n">
        <x:f>IF(subscriptions[[#This Row],[churned]]="Yes",1,0)</x:f>
        <x:v>1</x:v>
      </x:c>
      <x:c r="S188" s="11" t="n">
        <x:f>IF(K188="Yes",(L188-J188)/30.4375,"")</x:f>
        <x:v>2.6611909650924024</x:v>
      </x:c>
      <x:c r="T188" t="str">
        <x:f>IF(AND(K188="No",P188&lt;40,O188&lt;=4),"High Risk","")</x:f>
      </x:c>
    </x:row>
    <x:row r="189">
      <x:c r="A189" t="s">
        <x:v>246</x:v>
      </x:c>
      <x:c r="B189" t="s">
        <x:v>38</x:v>
      </x:c>
      <x:c r="C189" t="s">
        <x:v>20</x:v>
      </x:c>
      <x:c r="D189" t="s">
        <x:v>56</x:v>
      </x:c>
      <x:c r="E189" t="s">
        <x:v>40</x:v>
      </x:c>
      <x:c r="F189">
        <x:v>28</x:v>
      </x:c>
      <x:c r="G189">
        <x:v>1004.95</x:v>
      </x:c>
      <x:c r="H189" t="s">
        <x:v>47</x:v>
      </x:c>
      <x:c r="I189" t="s">
        <x:v>59</x:v>
      </x:c>
      <x:c r="J189" s="1">
        <x:v>44784</x:v>
      </x:c>
      <x:c r="K189" t="s">
        <x:v>25</x:v>
      </x:c>
      <x:c r="L189" s="1">
        <x:v>45650</x:v>
      </x:c>
      <x:c r="M189" t="s">
        <x:v>54</x:v>
      </x:c>
      <x:c r="N189">
        <x:v>13</x:v>
      </x:c>
      <x:c r="O189">
        <x:v>4</x:v>
      </x:c>
      <x:c r="P189">
        <x:v>15</x:v>
      </x:c>
      <x:c r="Q189" t="s">
        <x:v>27</x:v>
      </x:c>
      <x:c r="R189" t="n">
        <x:f>IF(subscriptions[[#This Row],[churned]]="Yes",1,0)</x:f>
        <x:v>1</x:v>
      </x:c>
      <x:c r="S189" s="11" t="n">
        <x:f>IF(K189="Yes",(L189-J189)/30.4375,"")</x:f>
        <x:v>28.451745379876797</x:v>
      </x:c>
      <x:c r="T189" t="str">
        <x:f>IF(AND(K189="No",P189&lt;40,O189&lt;=4),"High Risk","")</x:f>
      </x:c>
    </x:row>
    <x:row r="190">
      <x:c r="A190" t="s">
        <x:v>247</x:v>
      </x:c>
      <x:c r="B190" t="s">
        <x:v>33</x:v>
      </x:c>
      <x:c r="C190" t="s">
        <x:v>20</x:v>
      </x:c>
      <x:c r="D190" t="s">
        <x:v>83</x:v>
      </x:c>
      <x:c r="E190" t="s">
        <x:v>49</x:v>
      </x:c>
      <x:c r="F190">
        <x:v>141</x:v>
      </x:c>
      <x:c r="G190">
        <x:v>638</x:v>
      </x:c>
      <x:c r="H190" t="s">
        <x:v>30</x:v>
      </x:c>
      <x:c r="I190" t="s">
        <x:v>24</x:v>
      </x:c>
      <x:c r="J190" s="1">
        <x:v>45911</x:v>
      </x:c>
      <x:c r="K190" t="s">
        <x:v>27</x:v>
      </x:c>
      <x:c r="M190"/>
      <x:c r="N190">
        <x:v>11</x:v>
      </x:c>
      <x:c r="O190">
        <x:v>4</x:v>
      </x:c>
      <x:c r="P190">
        <x:v>88</x:v>
      </x:c>
      <x:c r="Q190" t="s">
        <x:v>27</x:v>
      </x:c>
      <x:c r="R190" t="n">
        <x:f>IF(subscriptions[[#This Row],[churned]]="Yes",1,0)</x:f>
        <x:v>0</x:v>
      </x:c>
      <x:c r="S190" s="11" t="str">
        <x:f>IF(K190="Yes",(L190-J190)/30.4375,"")</x:f>
      </x:c>
      <x:c r="T190" t="str">
        <x:f>IF(AND(K190="No",P190&lt;40,O190&lt;=4),"High Risk","")</x:f>
      </x:c>
    </x:row>
    <x:row r="191">
      <x:c r="A191" t="s">
        <x:v>248</x:v>
      </x:c>
      <x:c r="B191" t="s">
        <x:v>19</x:v>
      </x:c>
      <x:c r="C191" t="s">
        <x:v>20</x:v>
      </x:c>
      <x:c r="D191" t="s">
        <x:v>83</x:v>
      </x:c>
      <x:c r="E191" t="s">
        <x:v>22</x:v>
      </x:c>
      <x:c r="F191">
        <x:v>70</x:v>
      </x:c>
      <x:c r="G191">
        <x:v>896.65</x:v>
      </x:c>
      <x:c r="H191" t="s">
        <x:v>102</x:v>
      </x:c>
      <x:c r="I191" t="s">
        <x:v>24</x:v>
      </x:c>
      <x:c r="J191" s="1">
        <x:v>45117</x:v>
      </x:c>
      <x:c r="K191" t="s">
        <x:v>27</x:v>
      </x:c>
      <x:c r="M191"/>
      <x:c r="N191">
        <x:v>7</x:v>
      </x:c>
      <x:c r="O191">
        <x:v>10</x:v>
      </x:c>
      <x:c r="P191">
        <x:v>63</x:v>
      </x:c>
      <x:c r="Q191" t="s">
        <x:v>27</x:v>
      </x:c>
      <x:c r="R191" t="n">
        <x:f>IF(subscriptions[[#This Row],[churned]]="Yes",1,0)</x:f>
        <x:v>0</x:v>
      </x:c>
      <x:c r="S191" s="11" t="str">
        <x:f>IF(K191="Yes",(L191-J191)/30.4375,"")</x:f>
      </x:c>
      <x:c r="T191" t="str">
        <x:f>IF(AND(K191="No",P191&lt;40,O191&lt;=4),"High Risk","")</x:f>
      </x:c>
    </x:row>
    <x:row r="192">
      <x:c r="A192" t="s">
        <x:v>249</x:v>
      </x:c>
      <x:c r="B192" t="s">
        <x:v>33</x:v>
      </x:c>
      <x:c r="C192" t="s">
        <x:v>20</x:v>
      </x:c>
      <x:c r="D192" t="s">
        <x:v>53</x:v>
      </x:c>
      <x:c r="E192" t="s">
        <x:v>40</x:v>
      </x:c>
      <x:c r="F192">
        <x:v>30</x:v>
      </x:c>
      <x:c r="G192">
        <x:v>155.15</x:v>
      </x:c>
      <x:c r="H192" t="s">
        <x:v>36</x:v>
      </x:c>
      <x:c r="I192" t="s">
        <x:v>24</x:v>
      </x:c>
      <x:c r="J192" s="1">
        <x:v>44916</x:v>
      </x:c>
      <x:c r="K192" t="s">
        <x:v>25</x:v>
      </x:c>
      <x:c r="L192" s="1">
        <x:v>44951</x:v>
      </x:c>
      <x:c r="M192" t="s">
        <x:v>67</x:v>
      </x:c>
      <x:c r="N192">
        <x:v>15</x:v>
      </x:c>
      <x:c r="O192">
        <x:v>2</x:v>
      </x:c>
      <x:c r="P192">
        <x:v>23</x:v>
      </x:c>
      <x:c r="Q192" t="s">
        <x:v>27</x:v>
      </x:c>
      <x:c r="R192" t="n">
        <x:f>IF(subscriptions[[#This Row],[churned]]="Yes",1,0)</x:f>
        <x:v>1</x:v>
      </x:c>
      <x:c r="S192" s="11" t="n">
        <x:f>IF(K192="Yes",(L192-J192)/30.4375,"")</x:f>
        <x:v>1.1498973305954825</x:v>
      </x:c>
      <x:c r="T192" t="str">
        <x:f>IF(AND(K192="No",P192&lt;40,O192&lt;=4),"High Risk","")</x:f>
      </x:c>
    </x:row>
    <x:row r="193">
      <x:c r="A193" t="s">
        <x:v>250</x:v>
      </x:c>
      <x:c r="B193" t="s">
        <x:v>38</x:v>
      </x:c>
      <x:c r="C193" t="s">
        <x:v>20</x:v>
      </x:c>
      <x:c r="D193" t="s">
        <x:v>39</x:v>
      </x:c>
      <x:c r="E193" t="s">
        <x:v>22</x:v>
      </x:c>
      <x:c r="F193">
        <x:v>74</x:v>
      </x:c>
      <x:c r="G193">
        <x:v>2378.0500000000002</x:v>
      </x:c>
      <x:c r="H193" t="s">
        <x:v>102</x:v>
      </x:c>
      <x:c r="I193" t="s">
        <x:v>24</x:v>
      </x:c>
      <x:c r="J193" s="1">
        <x:v>44636</x:v>
      </x:c>
      <x:c r="K193" t="s">
        <x:v>27</x:v>
      </x:c>
      <x:c r="M193"/>
      <x:c r="N193">
        <x:v>8</x:v>
      </x:c>
      <x:c r="O193">
        <x:v>10</x:v>
      </x:c>
      <x:c r="P193">
        <x:v>46</x:v>
      </x:c>
      <x:c r="Q193" t="s">
        <x:v>25</x:v>
      </x:c>
      <x:c r="R193" t="n">
        <x:f>IF(subscriptions[[#This Row],[churned]]="Yes",1,0)</x:f>
        <x:v>0</x:v>
      </x:c>
      <x:c r="S193" s="11" t="str">
        <x:f>IF(K193="Yes",(L193-J193)/30.4375,"")</x:f>
      </x:c>
      <x:c r="T193" t="str">
        <x:f>IF(AND(K193="No",P193&lt;40,O193&lt;=4),"High Risk","")</x:f>
      </x:c>
    </x:row>
    <x:row r="194">
      <x:c r="A194" t="s">
        <x:v>251</x:v>
      </x:c>
      <x:c r="B194" t="s">
        <x:v>75</x:v>
      </x:c>
      <x:c r="C194" t="s">
        <x:v>20</x:v>
      </x:c>
      <x:c r="D194" t="s">
        <x:v>21</x:v>
      </x:c>
      <x:c r="E194" t="s">
        <x:v>40</x:v>
      </x:c>
      <x:c r="F194">
        <x:v>33</x:v>
      </x:c>
      <x:c r="G194">
        <x:v>2894.2</x:v>
      </x:c>
      <x:c r="H194" t="s">
        <x:v>102</x:v>
      </x:c>
      <x:c r="I194" t="s">
        <x:v>24</x:v>
      </x:c>
      <x:c r="J194" s="1">
        <x:v>45553</x:v>
      </x:c>
      <x:c r="K194" t="s">
        <x:v>27</x:v>
      </x:c>
      <x:c r="M194"/>
      <x:c r="N194">
        <x:v>0</x:v>
      </x:c>
      <x:c r="O194">
        <x:v>1</x:v>
      </x:c>
      <x:c r="P194">
        <x:v>43</x:v>
      </x:c>
      <x:c r="Q194" t="s">
        <x:v>25</x:v>
      </x:c>
      <x:c r="R194" t="n">
        <x:f>IF(subscriptions[[#This Row],[churned]]="Yes",1,0)</x:f>
        <x:v>0</x:v>
      </x:c>
      <x:c r="S194" s="11" t="str">
        <x:f>IF(K194="Yes",(L194-J194)/30.4375,"")</x:f>
      </x:c>
      <x:c r="T194" t="str">
        <x:f>IF(AND(K194="No",P194&lt;40,O194&lt;=4),"High Risk","")</x:f>
      </x:c>
    </x:row>
    <x:row r="195">
      <x:c r="A195" t="s">
        <x:v>252</x:v>
      </x:c>
      <x:c r="B195" t="s">
        <x:v>33</x:v>
      </x:c>
      <x:c r="C195" t="s">
        <x:v>29</x:v>
      </x:c>
      <x:c r="D195" t="s">
        <x:v>34</x:v>
      </x:c>
      <x:c r="E195" t="s">
        <x:v>35</x:v>
      </x:c>
      <x:c r="F195">
        <x:v>225</x:v>
      </x:c>
      <x:c r="G195">
        <x:v>852.89</x:v>
      </x:c>
      <x:c r="H195" t="s">
        <x:v>47</x:v>
      </x:c>
      <x:c r="I195" t="s">
        <x:v>41</x:v>
      </x:c>
      <x:c r="J195" s="1">
        <x:v>44984</x:v>
      </x:c>
      <x:c r="K195" t="s">
        <x:v>27</x:v>
      </x:c>
      <x:c r="M195"/>
      <x:c r="N195">
        <x:v>6</x:v>
      </x:c>
      <x:c r="O195">
        <x:v>9</x:v>
      </x:c>
      <x:c r="P195">
        <x:v>50</x:v>
      </x:c>
      <x:c r="Q195" t="s">
        <x:v>25</x:v>
      </x:c>
      <x:c r="R195" t="n">
        <x:f>IF(subscriptions[[#This Row],[churned]]="Yes",1,0)</x:f>
        <x:v>0</x:v>
      </x:c>
      <x:c r="S195" s="11" t="str">
        <x:f>IF(K195="Yes",(L195-J195)/30.4375,"")</x:f>
      </x:c>
      <x:c r="T195" t="str">
        <x:f>IF(AND(K195="No",P195&lt;40,O195&lt;=4),"High Risk","")</x:f>
      </x:c>
    </x:row>
    <x:row r="196">
      <x:c r="A196" t="s">
        <x:v>253</x:v>
      </x:c>
      <x:c r="B196" t="s">
        <x:v>33</x:v>
      </x:c>
      <x:c r="C196" t="s">
        <x:v>29</x:v>
      </x:c>
      <x:c r="D196" t="s">
        <x:v>66</x:v>
      </x:c>
      <x:c r="E196" t="s">
        <x:v>46</x:v>
      </x:c>
      <x:c r="F196">
        <x:v>3</x:v>
      </x:c>
      <x:c r="G196">
        <x:v>32.049999999999997</x:v>
      </x:c>
      <x:c r="H196" t="s">
        <x:v>64</x:v>
      </x:c>
      <x:c r="I196" t="s">
        <x:v>24</x:v>
      </x:c>
      <x:c r="J196" s="1">
        <x:v>45220</x:v>
      </x:c>
      <x:c r="K196" t="s">
        <x:v>25</x:v>
      </x:c>
      <x:c r="L196" s="1">
        <x:v>45492</x:v>
      </x:c>
      <x:c r="M196" t="s">
        <x:v>57</x:v>
      </x:c>
      <x:c r="N196">
        <x:v>4</x:v>
      </x:c>
      <x:c r="O196">
        <x:v>5</x:v>
      </x:c>
      <x:c r="P196">
        <x:v>33</x:v>
      </x:c>
      <x:c r="Q196" t="s">
        <x:v>27</x:v>
      </x:c>
      <x:c r="R196" t="n">
        <x:f>IF(subscriptions[[#This Row],[churned]]="Yes",1,0)</x:f>
        <x:v>1</x:v>
      </x:c>
      <x:c r="S196" s="11" t="n">
        <x:f>IF(K196="Yes",(L196-J196)/30.4375,"")</x:f>
        <x:v>8.936344969199178</x:v>
      </x:c>
      <x:c r="T196" t="str">
        <x:f>IF(AND(K196="No",P196&lt;40,O196&lt;=4),"High Risk","")</x:f>
      </x:c>
    </x:row>
    <x:row r="197">
      <x:c r="A197" t="s">
        <x:v>254</x:v>
      </x:c>
      <x:c r="B197" t="s">
        <x:v>19</x:v>
      </x:c>
      <x:c r="C197" t="s">
        <x:v>29</x:v>
      </x:c>
      <x:c r="D197" t="s">
        <x:v>53</x:v>
      </x:c>
      <x:c r="E197" t="s">
        <x:v>40</x:v>
      </x:c>
      <x:c r="F197">
        <x:v>20</x:v>
      </x:c>
      <x:c r="G197">
        <x:v>258.52999999999997</x:v>
      </x:c>
      <x:c r="H197" t="s">
        <x:v>64</x:v>
      </x:c>
      <x:c r="I197" t="s">
        <x:v>41</x:v>
      </x:c>
      <x:c r="J197" s="1">
        <x:v>45722</x:v>
      </x:c>
      <x:c r="K197" t="s">
        <x:v>27</x:v>
      </x:c>
      <x:c r="M197"/>
      <x:c r="N197">
        <x:v>6</x:v>
      </x:c>
      <x:c r="O197">
        <x:v>7</x:v>
      </x:c>
      <x:c r="P197">
        <x:v>95</x:v>
      </x:c>
      <x:c r="Q197" t="s">
        <x:v>27</x:v>
      </x:c>
      <x:c r="R197" t="n">
        <x:f>IF(subscriptions[[#This Row],[churned]]="Yes",1,0)</x:f>
        <x:v>0</x:v>
      </x:c>
      <x:c r="S197" s="11" t="str">
        <x:f>IF(K197="Yes",(L197-J197)/30.4375,"")</x:f>
      </x:c>
      <x:c r="T197" t="str">
        <x:f>IF(AND(K197="No",P197&lt;40,O197&lt;=4),"High Risk","")</x:f>
      </x:c>
    </x:row>
    <x:row r="198">
      <x:c r="A198" t="s">
        <x:v>255</x:v>
      </x:c>
      <x:c r="B198" t="s">
        <x:v>75</x:v>
      </x:c>
      <x:c r="C198" t="s">
        <x:v>20</x:v>
      </x:c>
      <x:c r="D198" t="s">
        <x:v>83</x:v>
      </x:c>
      <x:c r="E198" t="s">
        <x:v>46</x:v>
      </x:c>
      <x:c r="F198">
        <x:v>1</x:v>
      </x:c>
      <x:c r="G198">
        <x:v>499</x:v>
      </x:c>
      <x:c r="H198" t="s">
        <x:v>23</x:v>
      </x:c>
      <x:c r="I198" t="s">
        <x:v>59</x:v>
      </x:c>
      <x:c r="J198" s="1">
        <x:v>44645</x:v>
      </x:c>
      <x:c r="K198" t="s">
        <x:v>27</x:v>
      </x:c>
      <x:c r="M198"/>
      <x:c r="N198">
        <x:v>8</x:v>
      </x:c>
      <x:c r="O198">
        <x:v>7</x:v>
      </x:c>
      <x:c r="P198">
        <x:v>32</x:v>
      </x:c>
      <x:c r="Q198" t="s">
        <x:v>27</x:v>
      </x:c>
      <x:c r="R198" t="n">
        <x:f>IF(subscriptions[[#This Row],[churned]]="Yes",1,0)</x:f>
        <x:v>0</x:v>
      </x:c>
      <x:c r="S198" s="11" t="str">
        <x:f>IF(K198="Yes",(L198-J198)/30.4375,"")</x:f>
      </x:c>
      <x:c r="T198" t="str">
        <x:f>IF(AND(K198="No",P198&lt;40,O198&lt;=4),"High Risk","")</x:f>
      </x:c>
    </x:row>
    <x:row r="199">
      <x:c r="A199" t="s">
        <x:v>256</x:v>
      </x:c>
      <x:c r="B199" t="s">
        <x:v>33</x:v>
      </x:c>
      <x:c r="C199" t="s">
        <x:v>20</x:v>
      </x:c>
      <x:c r="D199" t="s">
        <x:v>56</x:v>
      </x:c>
      <x:c r="E199" t="s">
        <x:v>22</x:v>
      </x:c>
      <x:c r="F199">
        <x:v>21</x:v>
      </x:c>
      <x:c r="G199">
        <x:v>116</x:v>
      </x:c>
      <x:c r="H199" t="s">
        <x:v>47</x:v>
      </x:c>
      <x:c r="I199" t="s">
        <x:v>41</x:v>
      </x:c>
      <x:c r="J199" s="1">
        <x:v>45035</x:v>
      </x:c>
      <x:c r="K199" t="s">
        <x:v>25</x:v>
      </x:c>
      <x:c r="L199" s="1">
        <x:v>45672</x:v>
      </x:c>
      <x:c r="M199" t="s">
        <x:v>86</x:v>
      </x:c>
      <x:c r="N199">
        <x:v>0</x:v>
      </x:c>
      <x:c r="O199">
        <x:v>1</x:v>
      </x:c>
      <x:c r="P199">
        <x:v>15</x:v>
      </x:c>
      <x:c r="Q199" t="s">
        <x:v>27</x:v>
      </x:c>
      <x:c r="R199" t="n">
        <x:f>IF(subscriptions[[#This Row],[churned]]="Yes",1,0)</x:f>
        <x:v>1</x:v>
      </x:c>
      <x:c r="S199" s="11" t="n">
        <x:f>IF(K199="Yes",(L199-J199)/30.4375,"")</x:f>
        <x:v>20.928131416837783</x:v>
      </x:c>
      <x:c r="T199" t="str">
        <x:f>IF(AND(K199="No",P199&lt;40,O199&lt;=4),"High Risk","")</x:f>
      </x:c>
    </x:row>
    <x:row r="200">
      <x:c r="A200" t="s">
        <x:v>257</x:v>
      </x:c>
      <x:c r="B200" t="s">
        <x:v>19</x:v>
      </x:c>
      <x:c r="C200" t="s">
        <x:v>29</x:v>
      </x:c>
      <x:c r="D200" t="s">
        <x:v>72</x:v>
      </x:c>
      <x:c r="E200" t="s">
        <x:v>46</x:v>
      </x:c>
      <x:c r="F200">
        <x:v>4</x:v>
      </x:c>
      <x:c r="G200">
        <x:v>97.37</x:v>
      </x:c>
      <x:c r="H200" t="s">
        <x:v>64</x:v>
      </x:c>
      <x:c r="I200" t="s">
        <x:v>24</x:v>
      </x:c>
      <x:c r="J200" s="1">
        <x:v>45719</x:v>
      </x:c>
      <x:c r="K200" t="s">
        <x:v>27</x:v>
      </x:c>
      <x:c r="M200"/>
      <x:c r="N200">
        <x:v>2</x:v>
      </x:c>
      <x:c r="O200">
        <x:v>4</x:v>
      </x:c>
      <x:c r="P200">
        <x:v>36</x:v>
      </x:c>
      <x:c r="Q200" t="s">
        <x:v>27</x:v>
      </x:c>
      <x:c r="R200" t="n">
        <x:f>IF(subscriptions[[#This Row],[churned]]="Yes",1,0)</x:f>
        <x:v>0</x:v>
      </x:c>
      <x:c r="S200" s="11" t="str">
        <x:f>IF(K200="Yes",(L200-J200)/30.4375,"")</x:f>
      </x:c>
      <x:c r="T200" t="str">
        <x:f>IF(AND(K200="No",P200&lt;40,O200&lt;=4),"High Risk","")</x:f>
        <x:v>High Risk</x:v>
      </x:c>
    </x:row>
    <x:row r="201">
      <x:c r="A201" t="s">
        <x:v>258</x:v>
      </x:c>
      <x:c r="B201" t="s">
        <x:v>19</x:v>
      </x:c>
      <x:c r="C201" t="s">
        <x:v>29</x:v>
      </x:c>
      <x:c r="D201" t="s">
        <x:v>66</x:v>
      </x:c>
      <x:c r="E201" t="s">
        <x:v>49</x:v>
      </x:c>
      <x:c r="F201">
        <x:v>35</x:v>
      </x:c>
      <x:c r="G201">
        <x:v>409.62</x:v>
      </x:c>
      <x:c r="H201" t="s">
        <x:v>23</x:v>
      </x:c>
      <x:c r="I201" t="s">
        <x:v>24</x:v>
      </x:c>
      <x:c r="J201" s="1">
        <x:v>44858</x:v>
      </x:c>
      <x:c r="K201" t="s">
        <x:v>25</x:v>
      </x:c>
      <x:c r="L201" s="1">
        <x:v>45598</x:v>
      </x:c>
      <x:c r="M201" t="s">
        <x:v>86</x:v>
      </x:c>
      <x:c r="N201">
        <x:v>15</x:v>
      </x:c>
      <x:c r="O201">
        <x:v>1</x:v>
      </x:c>
      <x:c r="P201">
        <x:v>21</x:v>
      </x:c>
      <x:c r="Q201" t="s">
        <x:v>27</x:v>
      </x:c>
      <x:c r="R201" t="n">
        <x:f>IF(subscriptions[[#This Row],[churned]]="Yes",1,0)</x:f>
        <x:v>1</x:v>
      </x:c>
      <x:c r="S201" s="11" t="n">
        <x:f>IF(K201="Yes",(L201-J201)/30.4375,"")</x:f>
        <x:v>24.31211498973306</x:v>
      </x:c>
      <x:c r="T201" t="str">
        <x:f>IF(AND(K201="No",P201&lt;40,O201&lt;=4),"High Risk","")</x:f>
      </x:c>
    </x:row>
    <x:row r="202">
      <x:c r="A202" t="s">
        <x:v>259</x:v>
      </x:c>
      <x:c r="B202" t="s">
        <x:v>33</x:v>
      </x:c>
      <x:c r="C202" t="s">
        <x:v>20</x:v>
      </x:c>
      <x:c r="D202" t="s">
        <x:v>53</x:v>
      </x:c>
      <x:c r="E202" t="s">
        <x:v>40</x:v>
      </x:c>
      <x:c r="F202">
        <x:v>13</x:v>
      </x:c>
      <x:c r="G202">
        <x:v>81.2</x:v>
      </x:c>
      <x:c r="H202" t="s">
        <x:v>36</x:v>
      </x:c>
      <x:c r="I202" t="s">
        <x:v>41</x:v>
      </x:c>
      <x:c r="J202" s="1">
        <x:v>45105</x:v>
      </x:c>
      <x:c r="K202" t="s">
        <x:v>25</x:v>
      </x:c>
      <x:c r="L202" s="1">
        <x:v>45578</x:v>
      </x:c>
      <x:c r="M202" t="s">
        <x:v>57</x:v>
      </x:c>
      <x:c r="N202">
        <x:v>15</x:v>
      </x:c>
      <x:c r="O202">
        <x:v>1</x:v>
      </x:c>
      <x:c r="P202">
        <x:v>44</x:v>
      </x:c>
      <x:c r="Q202" t="s">
        <x:v>27</x:v>
      </x:c>
      <x:c r="R202" t="n">
        <x:f>IF(subscriptions[[#This Row],[churned]]="Yes",1,0)</x:f>
        <x:v>1</x:v>
      </x:c>
      <x:c r="S202" s="11" t="n">
        <x:f>IF(K202="Yes",(L202-J202)/30.4375,"")</x:f>
        <x:v>15.540041067761807</x:v>
      </x:c>
      <x:c r="T202" t="str">
        <x:f>IF(AND(K202="No",P202&lt;40,O202&lt;=4),"High Risk","")</x:f>
      </x:c>
    </x:row>
    <x:row r="203">
      <x:c r="A203" t="s">
        <x:v>260</x:v>
      </x:c>
      <x:c r="B203" t="s">
        <x:v>33</x:v>
      </x:c>
      <x:c r="C203" t="s">
        <x:v>20</x:v>
      </x:c>
      <x:c r="D203" t="s">
        <x:v>72</x:v>
      </x:c>
      <x:c r="E203" t="s">
        <x:v>40</x:v>
      </x:c>
      <x:c r="F203">
        <x:v>30</x:v>
      </x:c>
      <x:c r="G203">
        <x:v>155.15</x:v>
      </x:c>
      <x:c r="H203" t="s">
        <x:v>36</x:v>
      </x:c>
      <x:c r="I203" t="s">
        <x:v>73</x:v>
      </x:c>
      <x:c r="J203" s="1">
        <x:v>45205</x:v>
      </x:c>
      <x:c r="K203" t="s">
        <x:v>25</x:v>
      </x:c>
      <x:c r="L203" s="1">
        <x:v>45234</x:v>
      </x:c>
      <x:c r="M203" t="s">
        <x:v>26</x:v>
      </x:c>
      <x:c r="N203">
        <x:v>3</x:v>
      </x:c>
      <x:c r="O203">
        <x:v>1</x:v>
      </x:c>
      <x:c r="P203">
        <x:v>25</x:v>
      </x:c>
      <x:c r="Q203" t="s">
        <x:v>27</x:v>
      </x:c>
      <x:c r="R203" t="n">
        <x:f>IF(subscriptions[[#This Row],[churned]]="Yes",1,0)</x:f>
        <x:v>1</x:v>
      </x:c>
      <x:c r="S203" s="11" t="n">
        <x:f>IF(K203="Yes",(L203-J203)/30.4375,"")</x:f>
        <x:v>0.9527720739219713</x:v>
      </x:c>
      <x:c r="T203" t="str">
        <x:f>IF(AND(K203="No",P203&lt;40,O203&lt;=4),"High Risk","")</x:f>
      </x:c>
    </x:row>
    <x:row r="204">
      <x:c r="A204" t="s">
        <x:v>261</x:v>
      </x:c>
      <x:c r="B204" t="s">
        <x:v>38</x:v>
      </x:c>
      <x:c r="C204" t="s">
        <x:v>20</x:v>
      </x:c>
      <x:c r="D204" t="s">
        <x:v>83</x:v>
      </x:c>
      <x:c r="E204" t="s">
        <x:v>46</x:v>
      </x:c>
      <x:c r="F204">
        <x:v>8</x:v>
      </x:c>
      <x:c r="G204">
        <x:v>407.95</x:v>
      </x:c>
      <x:c r="H204" t="s">
        <x:v>30</x:v>
      </x:c>
      <x:c r="I204" t="s">
        <x:v>73</x:v>
      </x:c>
      <x:c r="J204" s="1">
        <x:v>45137</x:v>
      </x:c>
      <x:c r="K204" t="s">
        <x:v>25</x:v>
      </x:c>
      <x:c r="L204" s="1">
        <x:v>45753</x:v>
      </x:c>
      <x:c r="M204" t="s">
        <x:v>57</x:v>
      </x:c>
      <x:c r="N204">
        <x:v>1</x:v>
      </x:c>
      <x:c r="O204">
        <x:v>5</x:v>
      </x:c>
      <x:c r="P204">
        <x:v>12</x:v>
      </x:c>
      <x:c r="Q204" t="s">
        <x:v>27</x:v>
      </x:c>
      <x:c r="R204" t="n">
        <x:f>IF(subscriptions[[#This Row],[churned]]="Yes",1,0)</x:f>
        <x:v>1</x:v>
      </x:c>
      <x:c r="S204" s="11" t="n">
        <x:f>IF(K204="Yes",(L204-J204)/30.4375,"")</x:f>
        <x:v>20.238193018480494</x:v>
      </x:c>
      <x:c r="T204" t="str">
        <x:f>IF(AND(K204="No",P204&lt;40,O204&lt;=4),"High Risk","")</x:f>
      </x:c>
    </x:row>
    <x:row r="205">
      <x:c r="A205" t="s">
        <x:v>262</x:v>
      </x:c>
      <x:c r="B205" t="s">
        <x:v>33</x:v>
      </x:c>
      <x:c r="C205" t="s">
        <x:v>20</x:v>
      </x:c>
      <x:c r="D205" t="s">
        <x:v>66</x:v>
      </x:c>
      <x:c r="E205" t="s">
        <x:v>22</x:v>
      </x:c>
      <x:c r="F205">
        <x:v>64</x:v>
      </x:c>
      <x:c r="G205">
        <x:v>303.05</x:v>
      </x:c>
      <x:c r="H205" t="s">
        <x:v>36</x:v>
      </x:c>
      <x:c r="I205" t="s">
        <x:v>24</x:v>
      </x:c>
      <x:c r="J205" s="1">
        <x:v>45431</x:v>
      </x:c>
      <x:c r="K205" t="s">
        <x:v>25</x:v>
      </x:c>
      <x:c r="L205" s="1">
        <x:v>45493</x:v>
      </x:c>
      <x:c r="M205" t="s">
        <x:v>50</x:v>
      </x:c>
      <x:c r="N205">
        <x:v>11</x:v>
      </x:c>
      <x:c r="O205">
        <x:v>1</x:v>
      </x:c>
      <x:c r="P205">
        <x:v>49</x:v>
      </x:c>
      <x:c r="Q205" t="s">
        <x:v>27</x:v>
      </x:c>
      <x:c r="R205" t="n">
        <x:f>IF(subscriptions[[#This Row],[churned]]="Yes",1,0)</x:f>
        <x:v>1</x:v>
      </x:c>
      <x:c r="S205" s="11" t="n">
        <x:f>IF(K205="Yes",(L205-J205)/30.4375,"")</x:f>
        <x:v>2.0369609856262834</x:v>
      </x:c>
      <x:c r="T205" t="str">
        <x:f>IF(AND(K205="No",P205&lt;40,O205&lt;=4),"High Risk","")</x:f>
      </x:c>
    </x:row>
    <x:row r="206">
      <x:c r="A206" t="s">
        <x:v>263</x:v>
      </x:c>
      <x:c r="B206" t="s">
        <x:v>38</x:v>
      </x:c>
      <x:c r="C206" t="s">
        <x:v>29</x:v>
      </x:c>
      <x:c r="D206" t="s">
        <x:v>56</x:v>
      </x:c>
      <x:c r="E206" t="s">
        <x:v>22</x:v>
      </x:c>
      <x:c r="F206">
        <x:v>67</x:v>
      </x:c>
      <x:c r="G206">
        <x:v>1843.73</x:v>
      </x:c>
      <x:c r="H206" t="s">
        <x:v>23</x:v>
      </x:c>
      <x:c r="I206" t="s">
        <x:v>41</x:v>
      </x:c>
      <x:c r="J206" s="1">
        <x:v>45277</x:v>
      </x:c>
      <x:c r="K206" t="s">
        <x:v>27</x:v>
      </x:c>
      <x:c r="M206"/>
      <x:c r="N206">
        <x:v>12</x:v>
      </x:c>
      <x:c r="O206">
        <x:v>1</x:v>
      </x:c>
      <x:c r="P206">
        <x:v>85</x:v>
      </x:c>
      <x:c r="Q206" t="s">
        <x:v>25</x:v>
      </x:c>
      <x:c r="R206" t="n">
        <x:f>IF(subscriptions[[#This Row],[churned]]="Yes",1,0)</x:f>
        <x:v>0</x:v>
      </x:c>
      <x:c r="S206" s="11" t="str">
        <x:f>IF(K206="Yes",(L206-J206)/30.4375,"")</x:f>
      </x:c>
      <x:c r="T206" t="str">
        <x:f>IF(AND(K206="No",P206&lt;40,O206&lt;=4),"High Risk","")</x:f>
      </x:c>
    </x:row>
    <x:row r="207">
      <x:c r="A207" t="s">
        <x:v>264</x:v>
      </x:c>
      <x:c r="B207" t="s">
        <x:v>33</x:v>
      </x:c>
      <x:c r="C207" t="s">
        <x:v>20</x:v>
      </x:c>
      <x:c r="D207" t="s">
        <x:v>56</x:v>
      </x:c>
      <x:c r="E207" t="s">
        <x:v>49</x:v>
      </x:c>
      <x:c r="F207">
        <x:v>72</x:v>
      </x:c>
      <x:c r="G207">
        <x:v>337.85</x:v>
      </x:c>
      <x:c r="H207" t="s">
        <x:v>23</x:v>
      </x:c>
      <x:c r="I207" t="s">
        <x:v>41</x:v>
      </x:c>
      <x:c r="J207" s="1">
        <x:v>45374</x:v>
      </x:c>
      <x:c r="K207" t="s">
        <x:v>25</x:v>
      </x:c>
      <x:c r="L207" s="1">
        <x:v>45475</x:v>
      </x:c>
      <x:c r="M207" t="s">
        <x:v>54</x:v>
      </x:c>
      <x:c r="N207">
        <x:v>5</x:v>
      </x:c>
      <x:c r="O207">
        <x:v>6</x:v>
      </x:c>
      <x:c r="P207">
        <x:v>33</x:v>
      </x:c>
      <x:c r="Q207" t="s">
        <x:v>27</x:v>
      </x:c>
      <x:c r="R207" t="n">
        <x:f>IF(subscriptions[[#This Row],[churned]]="Yes",1,0)</x:f>
        <x:v>1</x:v>
      </x:c>
      <x:c r="S207" s="11" t="n">
        <x:f>IF(K207="Yes",(L207-J207)/30.4375,"")</x:f>
        <x:v>3.3182751540041067</x:v>
      </x:c>
      <x:c r="T207" t="str">
        <x:f>IF(AND(K207="No",P207&lt;40,O207&lt;=4),"High Risk","")</x:f>
      </x:c>
    </x:row>
    <x:row r="208">
      <x:c r="A208" t="s">
        <x:v>265</x:v>
      </x:c>
      <x:c r="B208" t="s">
        <x:v>38</x:v>
      </x:c>
      <x:c r="C208" t="s">
        <x:v>20</x:v>
      </x:c>
      <x:c r="D208" t="s">
        <x:v>39</x:v>
      </x:c>
      <x:c r="E208" t="s">
        <x:v>46</x:v>
      </x:c>
      <x:c r="F208">
        <x:v>1</x:v>
      </x:c>
      <x:c r="G208">
        <x:v>199</x:v>
      </x:c>
      <x:c r="H208" t="s">
        <x:v>36</x:v>
      </x:c>
      <x:c r="I208" t="s">
        <x:v>24</x:v>
      </x:c>
      <x:c r="J208" s="1">
        <x:v>45018</x:v>
      </x:c>
      <x:c r="K208" t="s">
        <x:v>25</x:v>
      </x:c>
      <x:c r="L208" s="1">
        <x:v>45275</x:v>
      </x:c>
      <x:c r="M208" t="s">
        <x:v>67</x:v>
      </x:c>
      <x:c r="N208">
        <x:v>12</x:v>
      </x:c>
      <x:c r="O208">
        <x:v>2</x:v>
      </x:c>
      <x:c r="P208">
        <x:v>16</x:v>
      </x:c>
      <x:c r="Q208" t="s">
        <x:v>27</x:v>
      </x:c>
      <x:c r="R208" t="n">
        <x:f>IF(subscriptions[[#This Row],[churned]]="Yes",1,0)</x:f>
        <x:v>1</x:v>
      </x:c>
      <x:c r="S208" s="11" t="n">
        <x:f>IF(K208="Yes",(L208-J208)/30.4375,"")</x:f>
        <x:v>8.4435318275154</x:v>
      </x:c>
      <x:c r="T208" t="str">
        <x:f>IF(AND(K208="No",P208&lt;40,O208&lt;=4),"High Risk","")</x:f>
      </x:c>
    </x:row>
    <x:row r="209">
      <x:c r="A209" t="s">
        <x:v>266</x:v>
      </x:c>
      <x:c r="B209" t="s">
        <x:v>33</x:v>
      </x:c>
      <x:c r="C209" t="s">
        <x:v>20</x:v>
      </x:c>
      <x:c r="D209" t="s">
        <x:v>83</x:v>
      </x:c>
      <x:c r="E209" t="s">
        <x:v>40</x:v>
      </x:c>
      <x:c r="F209">
        <x:v>5</x:v>
      </x:c>
      <x:c r="G209">
        <x:v>46.4</x:v>
      </x:c>
      <x:c r="H209" t="s">
        <x:v>47</x:v>
      </x:c>
      <x:c r="I209" t="s">
        <x:v>24</x:v>
      </x:c>
      <x:c r="J209" s="1">
        <x:v>45676</x:v>
      </x:c>
      <x:c r="K209" t="s">
        <x:v>25</x:v>
      </x:c>
      <x:c r="L209" s="1">
        <x:v>45841</x:v>
      </x:c>
      <x:c r="M209" t="s">
        <x:v>86</x:v>
      </x:c>
      <x:c r="N209">
        <x:v>8</x:v>
      </x:c>
      <x:c r="O209">
        <x:v>4</x:v>
      </x:c>
      <x:c r="P209">
        <x:v>21</x:v>
      </x:c>
      <x:c r="Q209" t="s">
        <x:v>27</x:v>
      </x:c>
      <x:c r="R209" t="n">
        <x:f>IF(subscriptions[[#This Row],[churned]]="Yes",1,0)</x:f>
        <x:v>1</x:v>
      </x:c>
      <x:c r="S209" s="11" t="n">
        <x:f>IF(K209="Yes",(L209-J209)/30.4375,"")</x:f>
        <x:v>5.420944558521561</x:v>
      </x:c>
      <x:c r="T209" t="str">
        <x:f>IF(AND(K209="No",P209&lt;40,O209&lt;=4),"High Risk","")</x:f>
      </x:c>
    </x:row>
    <x:row r="210">
      <x:c r="A210" t="s">
        <x:v>267</x:v>
      </x:c>
      <x:c r="B210" t="s">
        <x:v>33</x:v>
      </x:c>
      <x:c r="C210" t="s">
        <x:v>29</x:v>
      </x:c>
      <x:c r="D210" t="s">
        <x:v>56</x:v>
      </x:c>
      <x:c r="E210" t="s">
        <x:v>22</x:v>
      </x:c>
      <x:c r="F210">
        <x:v>46</x:v>
      </x:c>
      <x:c r="G210">
        <x:v>191.04</x:v>
      </x:c>
      <x:c r="H210" t="s">
        <x:v>102</x:v>
      </x:c>
      <x:c r="I210" t="s">
        <x:v>41</x:v>
      </x:c>
      <x:c r="J210" s="1">
        <x:v>44686</x:v>
      </x:c>
      <x:c r="K210" t="s">
        <x:v>25</x:v>
      </x:c>
      <x:c r="L210" s="1">
        <x:v>44772</x:v>
      </x:c>
      <x:c r="M210" t="s">
        <x:v>60</x:v>
      </x:c>
      <x:c r="N210">
        <x:v>2</x:v>
      </x:c>
      <x:c r="O210">
        <x:v>1</x:v>
      </x:c>
      <x:c r="P210">
        <x:v>13</x:v>
      </x:c>
      <x:c r="Q210" t="s">
        <x:v>27</x:v>
      </x:c>
      <x:c r="R210" t="n">
        <x:f>IF(subscriptions[[#This Row],[churned]]="Yes",1,0)</x:f>
        <x:v>1</x:v>
      </x:c>
      <x:c r="S210" s="11" t="n">
        <x:f>IF(K210="Yes",(L210-J210)/30.4375,"")</x:f>
        <x:v>2.8254620123203287</x:v>
      </x:c>
      <x:c r="T210" t="str">
        <x:f>IF(AND(K210="No",P210&lt;40,O210&lt;=4),"High Risk","")</x:f>
      </x:c>
    </x:row>
    <x:row r="211">
      <x:c r="A211" t="s">
        <x:v>268</x:v>
      </x:c>
      <x:c r="B211" t="s">
        <x:v>75</x:v>
      </x:c>
      <x:c r="C211" t="s">
        <x:v>20</x:v>
      </x:c>
      <x:c r="D211" t="s">
        <x:v>56</x:v>
      </x:c>
      <x:c r="E211" t="s">
        <x:v>22</x:v>
      </x:c>
      <x:c r="F211">
        <x:v>72</x:v>
      </x:c>
      <x:c r="G211">
        <x:v>5813.35</x:v>
      </x:c>
      <x:c r="H211" t="s">
        <x:v>102</x:v>
      </x:c>
      <x:c r="I211" t="s">
        <x:v>24</x:v>
      </x:c>
      <x:c r="J211" s="1">
        <x:v>44826</x:v>
      </x:c>
      <x:c r="K211" t="s">
        <x:v>25</x:v>
      </x:c>
      <x:c r="L211" s="1">
        <x:v>45803</x:v>
      </x:c>
      <x:c r="M211" t="s">
        <x:v>26</x:v>
      </x:c>
      <x:c r="N211">
        <x:v>13</x:v>
      </x:c>
      <x:c r="O211">
        <x:v>1</x:v>
      </x:c>
      <x:c r="P211">
        <x:v>17</x:v>
      </x:c>
      <x:c r="Q211" t="s">
        <x:v>27</x:v>
      </x:c>
      <x:c r="R211" t="n">
        <x:f>IF(subscriptions[[#This Row],[churned]]="Yes",1,0)</x:f>
        <x:v>1</x:v>
      </x:c>
      <x:c r="S211" s="11" t="n">
        <x:f>IF(K211="Yes",(L211-J211)/30.4375,"")</x:f>
        <x:v>32.09856262833676</x:v>
      </x:c>
      <x:c r="T211" t="str">
        <x:f>IF(AND(K211="No",P211&lt;40,O211&lt;=4),"High Risk","")</x:f>
      </x:c>
    </x:row>
    <x:row r="212">
      <x:c r="A212" t="s">
        <x:v>269</x:v>
      </x:c>
      <x:c r="B212" t="s">
        <x:v>75</x:v>
      </x:c>
      <x:c r="C212" t="s">
        <x:v>29</x:v>
      </x:c>
      <x:c r="D212" t="s">
        <x:v>66</x:v>
      </x:c>
      <x:c r="E212" t="s">
        <x:v>49</x:v>
      </x:c>
      <x:c r="F212">
        <x:v>48</x:v>
      </x:c>
      <x:c r="G212">
        <x:v>3414.41</x:v>
      </x:c>
      <x:c r="H212" t="s">
        <x:v>64</x:v>
      </x:c>
      <x:c r="I212" t="s">
        <x:v>24</x:v>
      </x:c>
      <x:c r="J212" s="1">
        <x:v>45838</x:v>
      </x:c>
      <x:c r="K212" t="s">
        <x:v>27</x:v>
      </x:c>
      <x:c r="M212"/>
      <x:c r="N212">
        <x:v>12</x:v>
      </x:c>
      <x:c r="O212">
        <x:v>2</x:v>
      </x:c>
      <x:c r="P212">
        <x:v>23</x:v>
      </x:c>
      <x:c r="Q212" t="s">
        <x:v>27</x:v>
      </x:c>
      <x:c r="R212" t="n">
        <x:f>IF(subscriptions[[#This Row],[churned]]="Yes",1,0)</x:f>
        <x:v>0</x:v>
      </x:c>
      <x:c r="S212" s="11" t="str">
        <x:f>IF(K212="Yes",(L212-J212)/30.4375,"")</x:f>
      </x:c>
      <x:c r="T212" t="str">
        <x:f>IF(AND(K212="No",P212&lt;40,O212&lt;=4),"High Risk","")</x:f>
        <x:v>High Risk</x:v>
      </x:c>
    </x:row>
    <x:row r="213">
      <x:c r="A213" t="s">
        <x:v>270</x:v>
      </x:c>
      <x:c r="B213" t="s">
        <x:v>38</x:v>
      </x:c>
      <x:c r="C213" t="s">
        <x:v>29</x:v>
      </x:c>
      <x:c r="D213" t="s">
        <x:v>21</x:v>
      </x:c>
      <x:c r="E213" t="s">
        <x:v>46</x:v>
      </x:c>
      <x:c r="F213">
        <x:v>1</x:v>
      </x:c>
      <x:c r="G213">
        <x:v>169.15</x:v>
      </x:c>
      <x:c r="H213" t="s">
        <x:v>36</x:v>
      </x:c>
      <x:c r="I213" t="s">
        <x:v>24</x:v>
      </x:c>
      <x:c r="J213" s="1">
        <x:v>45299</x:v>
      </x:c>
      <x:c r="K213" t="s">
        <x:v>27</x:v>
      </x:c>
      <x:c r="M213"/>
      <x:c r="N213">
        <x:v>1</x:v>
      </x:c>
      <x:c r="O213">
        <x:v>6</x:v>
      </x:c>
      <x:c r="P213">
        <x:v>60</x:v>
      </x:c>
      <x:c r="Q213" t="s">
        <x:v>27</x:v>
      </x:c>
      <x:c r="R213" t="n">
        <x:f>IF(subscriptions[[#This Row],[churned]]="Yes",1,0)</x:f>
        <x:v>0</x:v>
      </x:c>
      <x:c r="S213" s="11" t="str">
        <x:f>IF(K213="Yes",(L213-J213)/30.4375,"")</x:f>
      </x:c>
      <x:c r="T213" t="str">
        <x:f>IF(AND(K213="No",P213&lt;40,O213&lt;=4),"High Risk","")</x:f>
      </x:c>
    </x:row>
    <x:row r="214">
      <x:c r="A214" t="s">
        <x:v>271</x:v>
      </x:c>
      <x:c r="B214" t="s">
        <x:v>38</x:v>
      </x:c>
      <x:c r="C214" t="s">
        <x:v>29</x:v>
      </x:c>
      <x:c r="D214" t="s">
        <x:v>43</x:v>
      </x:c>
      <x:c r="E214" t="s">
        <x:v>35</x:v>
      </x:c>
      <x:c r="F214">
        <x:v>209</x:v>
      </x:c>
      <x:c r="G214">
        <x:v>5446.63</x:v>
      </x:c>
      <x:c r="H214" t="s">
        <x:v>36</x:v>
      </x:c>
      <x:c r="I214" t="s">
        <x:v>24</x:v>
      </x:c>
      <x:c r="J214" s="1">
        <x:v>45066</x:v>
      </x:c>
      <x:c r="K214" t="s">
        <x:v>27</x:v>
      </x:c>
      <x:c r="M214"/>
      <x:c r="N214">
        <x:v>4</x:v>
      </x:c>
      <x:c r="O214">
        <x:v>2</x:v>
      </x:c>
      <x:c r="P214">
        <x:v>31</x:v>
      </x:c>
      <x:c r="Q214" t="s">
        <x:v>27</x:v>
      </x:c>
      <x:c r="R214" t="n">
        <x:f>IF(subscriptions[[#This Row],[churned]]="Yes",1,0)</x:f>
        <x:v>0</x:v>
      </x:c>
      <x:c r="S214" s="11" t="str">
        <x:f>IF(K214="Yes",(L214-J214)/30.4375,"")</x:f>
      </x:c>
      <x:c r="T214" t="str">
        <x:f>IF(AND(K214="No",P214&lt;40,O214&lt;=4),"High Risk","")</x:f>
        <x:v>High Risk</x:v>
      </x:c>
    </x:row>
    <x:row r="215">
      <x:c r="A215" t="s">
        <x:v>272</x:v>
      </x:c>
      <x:c r="B215" t="s">
        <x:v>33</x:v>
      </x:c>
      <x:c r="C215" t="s">
        <x:v>20</x:v>
      </x:c>
      <x:c r="D215" t="s">
        <x:v>72</x:v>
      </x:c>
      <x:c r="E215" t="s">
        <x:v>40</x:v>
      </x:c>
      <x:c r="F215">
        <x:v>17</x:v>
      </x:c>
      <x:c r="G215">
        <x:v>98.6</x:v>
      </x:c>
      <x:c r="H215" t="s">
        <x:v>47</x:v>
      </x:c>
      <x:c r="I215" t="s">
        <x:v>24</x:v>
      </x:c>
      <x:c r="J215" s="1">
        <x:v>45558</x:v>
      </x:c>
      <x:c r="K215" t="s">
        <x:v>25</x:v>
      </x:c>
      <x:c r="L215" s="1">
        <x:v>45880</x:v>
      </x:c>
      <x:c r="M215" t="s">
        <x:v>67</x:v>
      </x:c>
      <x:c r="N215">
        <x:v>4</x:v>
      </x:c>
      <x:c r="O215">
        <x:v>4</x:v>
      </x:c>
      <x:c r="P215">
        <x:v>10</x:v>
      </x:c>
      <x:c r="Q215" t="s">
        <x:v>27</x:v>
      </x:c>
      <x:c r="R215" t="n">
        <x:f>IF(subscriptions[[#This Row],[churned]]="Yes",1,0)</x:f>
        <x:v>1</x:v>
      </x:c>
      <x:c r="S215" s="11" t="n">
        <x:f>IF(K215="Yes",(L215-J215)/30.4375,"")</x:f>
        <x:v>10.57905544147844</x:v>
      </x:c>
      <x:c r="T215" t="str">
        <x:f>IF(AND(K215="No",P215&lt;40,O215&lt;=4),"High Risk","")</x:f>
      </x:c>
    </x:row>
    <x:row r="216">
      <x:c r="A216" t="s">
        <x:v>273</x:v>
      </x:c>
      <x:c r="B216" t="s">
        <x:v>33</x:v>
      </x:c>
      <x:c r="C216" t="s">
        <x:v>20</x:v>
      </x:c>
      <x:c r="D216" t="s">
        <x:v>83</x:v>
      </x:c>
      <x:c r="E216" t="s">
        <x:v>40</x:v>
      </x:c>
      <x:c r="F216">
        <x:v>21</x:v>
      </x:c>
      <x:c r="G216">
        <x:v>116</x:v>
      </x:c>
      <x:c r="H216" t="s">
        <x:v>30</x:v>
      </x:c>
      <x:c r="I216" t="s">
        <x:v>59</x:v>
      </x:c>
      <x:c r="J216" s="1">
        <x:v>45666</x:v>
      </x:c>
      <x:c r="K216" t="s">
        <x:v>25</x:v>
      </x:c>
      <x:c r="L216" s="1">
        <x:v>45837</x:v>
      </x:c>
      <x:c r="M216" t="s">
        <x:v>54</x:v>
      </x:c>
      <x:c r="N216">
        <x:v>15</x:v>
      </x:c>
      <x:c r="O216">
        <x:v>5</x:v>
      </x:c>
      <x:c r="P216">
        <x:v>27</x:v>
      </x:c>
      <x:c r="Q216" t="s">
        <x:v>27</x:v>
      </x:c>
      <x:c r="R216" t="n">
        <x:f>IF(subscriptions[[#This Row],[churned]]="Yes",1,0)</x:f>
        <x:v>1</x:v>
      </x:c>
      <x:c r="S216" s="11" t="n">
        <x:f>IF(K216="Yes",(L216-J216)/30.4375,"")</x:f>
        <x:v>5.618069815195072</x:v>
      </x:c>
      <x:c r="T216" t="str">
        <x:f>IF(AND(K216="No",P216&lt;40,O216&lt;=4),"High Risk","")</x:f>
      </x:c>
    </x:row>
    <x:row r="217">
      <x:c r="A217" t="s">
        <x:v>274</x:v>
      </x:c>
      <x:c r="B217" t="s">
        <x:v>33</x:v>
      </x:c>
      <x:c r="C217" t="s">
        <x:v>20</x:v>
      </x:c>
      <x:c r="D217" t="s">
        <x:v>34</x:v>
      </x:c>
      <x:c r="E217" t="s">
        <x:v>40</x:v>
      </x:c>
      <x:c r="F217">
        <x:v>15</x:v>
      </x:c>
      <x:c r="G217">
        <x:v>89.9</x:v>
      </x:c>
      <x:c r="H217" t="s">
        <x:v>23</x:v>
      </x:c>
      <x:c r="I217" t="s">
        <x:v>24</x:v>
      </x:c>
      <x:c r="J217" s="1">
        <x:v>45493</x:v>
      </x:c>
      <x:c r="K217" t="s">
        <x:v>25</x:v>
      </x:c>
      <x:c r="L217" s="1">
        <x:v>45551</x:v>
      </x:c>
      <x:c r="M217" t="s">
        <x:v>50</x:v>
      </x:c>
      <x:c r="N217">
        <x:v>11</x:v>
      </x:c>
      <x:c r="O217">
        <x:v>4</x:v>
      </x:c>
      <x:c r="P217">
        <x:v>20</x:v>
      </x:c>
      <x:c r="Q217" t="s">
        <x:v>27</x:v>
      </x:c>
      <x:c r="R217" t="n">
        <x:f>IF(subscriptions[[#This Row],[churned]]="Yes",1,0)</x:f>
        <x:v>1</x:v>
      </x:c>
      <x:c r="S217" s="11" t="n">
        <x:f>IF(K217="Yes",(L217-J217)/30.4375,"")</x:f>
        <x:v>1.9055441478439425</x:v>
      </x:c>
      <x:c r="T217" t="str">
        <x:f>IF(AND(K217="No",P217&lt;40,O217&lt;=4),"High Risk","")</x:f>
      </x:c>
    </x:row>
    <x:row r="218">
      <x:c r="A218" t="s">
        <x:v>275</x:v>
      </x:c>
      <x:c r="B218" t="s">
        <x:v>19</x:v>
      </x:c>
      <x:c r="C218" t="s">
        <x:v>20</x:v>
      </x:c>
      <x:c r="D218" t="s">
        <x:v>56</x:v>
      </x:c>
      <x:c r="E218" t="s">
        <x:v>22</x:v>
      </x:c>
      <x:c r="F218">
        <x:v>46</x:v>
      </x:c>
      <x:c r="G218">
        <x:v>612.25</x:v>
      </x:c>
      <x:c r="H218" t="s">
        <x:v>36</x:v>
      </x:c>
      <x:c r="I218" t="s">
        <x:v>24</x:v>
      </x:c>
      <x:c r="J218" s="1">
        <x:v>45387</x:v>
      </x:c>
      <x:c r="K218" t="s">
        <x:v>27</x:v>
      </x:c>
      <x:c r="M218"/>
      <x:c r="N218">
        <x:v>3</x:v>
      </x:c>
      <x:c r="O218">
        <x:v>7</x:v>
      </x:c>
      <x:c r="P218">
        <x:v>39</x:v>
      </x:c>
      <x:c r="Q218" t="s">
        <x:v>27</x:v>
      </x:c>
      <x:c r="R218" t="n">
        <x:f>IF(subscriptions[[#This Row],[churned]]="Yes",1,0)</x:f>
        <x:v>0</x:v>
      </x:c>
      <x:c r="S218" s="11" t="str">
        <x:f>IF(K218="Yes",(L218-J218)/30.4375,"")</x:f>
      </x:c>
      <x:c r="T218" t="str">
        <x:f>IF(AND(K218="No",P218&lt;40,O218&lt;=4),"High Risk","")</x:f>
      </x:c>
    </x:row>
    <x:row r="219">
      <x:c r="A219" t="s">
        <x:v>276</x:v>
      </x:c>
      <x:c r="B219" t="s">
        <x:v>33</x:v>
      </x:c>
      <x:c r="C219" t="s">
        <x:v>20</x:v>
      </x:c>
      <x:c r="D219" t="s">
        <x:v>34</x:v>
      </x:c>
      <x:c r="E219" t="s">
        <x:v>22</x:v>
      </x:c>
      <x:c r="F219">
        <x:v>22</x:v>
      </x:c>
      <x:c r="G219">
        <x:v>120.35</x:v>
      </x:c>
      <x:c r="H219" t="s">
        <x:v>30</x:v>
      </x:c>
      <x:c r="I219" t="s">
        <x:v>24</x:v>
      </x:c>
      <x:c r="J219" s="1">
        <x:v>44849</x:v>
      </x:c>
      <x:c r="K219" t="s">
        <x:v>25</x:v>
      </x:c>
      <x:c r="L219" s="1">
        <x:v>45316</x:v>
      </x:c>
      <x:c r="M219" t="s">
        <x:v>60</x:v>
      </x:c>
      <x:c r="N219">
        <x:v>3</x:v>
      </x:c>
      <x:c r="O219">
        <x:v>3</x:v>
      </x:c>
      <x:c r="P219">
        <x:v>27</x:v>
      </x:c>
      <x:c r="Q219" t="s">
        <x:v>27</x:v>
      </x:c>
      <x:c r="R219" t="n">
        <x:f>IF(subscriptions[[#This Row],[churned]]="Yes",1,0)</x:f>
        <x:v>1</x:v>
      </x:c>
      <x:c r="S219" s="11" t="n">
        <x:f>IF(K219="Yes",(L219-J219)/30.4375,"")</x:f>
        <x:v>15.342915811088295</x:v>
      </x:c>
      <x:c r="T219" t="str">
        <x:f>IF(AND(K219="No",P219&lt;40,O219&lt;=4),"High Risk","")</x:f>
      </x:c>
    </x:row>
    <x:row r="220">
      <x:c r="A220" t="s">
        <x:v>277</x:v>
      </x:c>
      <x:c r="B220" t="s">
        <x:v>33</x:v>
      </x:c>
      <x:c r="C220" t="s">
        <x:v>29</x:v>
      </x:c>
      <x:c r="D220" t="s">
        <x:v>43</x:v>
      </x:c>
      <x:c r="E220" t="s">
        <x:v>46</x:v>
      </x:c>
      <x:c r="F220">
        <x:v>8</x:v>
      </x:c>
      <x:c r="G220">
        <x:v>50.53</x:v>
      </x:c>
      <x:c r="H220" t="s">
        <x:v>23</x:v>
      </x:c>
      <x:c r="I220" t="s">
        <x:v>24</x:v>
      </x:c>
      <x:c r="J220" s="1">
        <x:v>45160</x:v>
      </x:c>
      <x:c r="K220" t="s">
        <x:v>27</x:v>
      </x:c>
      <x:c r="M220"/>
      <x:c r="N220">
        <x:v>6</x:v>
      </x:c>
      <x:c r="O220">
        <x:v>8</x:v>
      </x:c>
      <x:c r="P220">
        <x:v>32</x:v>
      </x:c>
      <x:c r="Q220" t="s">
        <x:v>27</x:v>
      </x:c>
      <x:c r="R220" t="n">
        <x:f>IF(subscriptions[[#This Row],[churned]]="Yes",1,0)</x:f>
        <x:v>0</x:v>
      </x:c>
      <x:c r="S220" s="11" t="str">
        <x:f>IF(K220="Yes",(L220-J220)/30.4375,"")</x:f>
      </x:c>
      <x:c r="T220" t="str">
        <x:f>IF(AND(K220="No",P220&lt;40,O220&lt;=4),"High Risk","")</x:f>
      </x:c>
    </x:row>
    <x:row r="221">
      <x:c r="A221" t="s">
        <x:v>278</x:v>
      </x:c>
      <x:c r="B221" t="s">
        <x:v>19</x:v>
      </x:c>
      <x:c r="C221" t="s">
        <x:v>20</x:v>
      </x:c>
      <x:c r="D221" t="s">
        <x:v>66</x:v>
      </x:c>
      <x:c r="E221" t="s">
        <x:v>46</x:v>
      </x:c>
      <x:c r="F221">
        <x:v>1</x:v>
      </x:c>
      <x:c r="G221">
        <x:v>79</x:v>
      </x:c>
      <x:c r="H221" t="s">
        <x:v>102</x:v>
      </x:c>
      <x:c r="I221" t="s">
        <x:v>24</x:v>
      </x:c>
      <x:c r="J221" s="1">
        <x:v>45195</x:v>
      </x:c>
      <x:c r="K221" t="s">
        <x:v>25</x:v>
      </x:c>
      <x:c r="L221" s="1">
        <x:v>45788</x:v>
      </x:c>
      <x:c r="M221" t="s">
        <x:v>26</x:v>
      </x:c>
      <x:c r="N221">
        <x:v>9</x:v>
      </x:c>
      <x:c r="O221">
        <x:v>5</x:v>
      </x:c>
      <x:c r="P221">
        <x:v>44</x:v>
      </x:c>
      <x:c r="Q221" t="s">
        <x:v>27</x:v>
      </x:c>
      <x:c r="R221" t="n">
        <x:f>IF(subscriptions[[#This Row],[churned]]="Yes",1,0)</x:f>
        <x:v>1</x:v>
      </x:c>
      <x:c r="S221" s="11" t="n">
        <x:f>IF(K221="Yes",(L221-J221)/30.4375,"")</x:f>
        <x:v>19.482546201232033</x:v>
      </x:c>
      <x:c r="T221" t="str">
        <x:f>IF(AND(K221="No",P221&lt;40,O221&lt;=4),"High Risk","")</x:f>
      </x:c>
    </x:row>
    <x:row r="222">
      <x:c r="A222" t="s">
        <x:v>279</x:v>
      </x:c>
      <x:c r="B222" t="s">
        <x:v>38</x:v>
      </x:c>
      <x:c r="C222" t="s">
        <x:v>29</x:v>
      </x:c>
      <x:c r="D222" t="s">
        <x:v>39</x:v>
      </x:c>
      <x:c r="E222" t="s">
        <x:v>46</x:v>
      </x:c>
      <x:c r="F222">
        <x:v>3</x:v>
      </x:c>
      <x:c r="G222">
        <x:v>219.9</x:v>
      </x:c>
      <x:c r="H222" t="s">
        <x:v>23</x:v>
      </x:c>
      <x:c r="I222" t="s">
        <x:v>24</x:v>
      </x:c>
      <x:c r="J222" s="1">
        <x:v>45836</x:v>
      </x:c>
      <x:c r="K222" t="s">
        <x:v>27</x:v>
      </x:c>
      <x:c r="M222"/>
      <x:c r="N222">
        <x:v>7</x:v>
      </x:c>
      <x:c r="O222">
        <x:v>8</x:v>
      </x:c>
      <x:c r="P222">
        <x:v>43</x:v>
      </x:c>
      <x:c r="Q222" t="s">
        <x:v>27</x:v>
      </x:c>
      <x:c r="R222" t="n">
        <x:f>IF(subscriptions[[#This Row],[churned]]="Yes",1,0)</x:f>
        <x:v>0</x:v>
      </x:c>
      <x:c r="S222" s="11" t="str">
        <x:f>IF(K222="Yes",(L222-J222)/30.4375,"")</x:f>
      </x:c>
      <x:c r="T222" t="str">
        <x:f>IF(AND(K222="No",P222&lt;40,O222&lt;=4),"High Risk","")</x:f>
      </x:c>
    </x:row>
    <x:row r="223">
      <x:c r="A223" t="s">
        <x:v>280</x:v>
      </x:c>
      <x:c r="B223" t="s">
        <x:v>19</x:v>
      </x:c>
      <x:c r="C223" t="s">
        <x:v>20</x:v>
      </x:c>
      <x:c r="D223" t="s">
        <x:v>53</x:v>
      </x:c>
      <x:c r="E223" t="s">
        <x:v>22</x:v>
      </x:c>
      <x:c r="F223">
        <x:v>47</x:v>
      </x:c>
      <x:c r="G223">
        <x:v>624.1</x:v>
      </x:c>
      <x:c r="H223" t="s">
        <x:v>47</x:v>
      </x:c>
      <x:c r="I223" t="s">
        <x:v>41</x:v>
      </x:c>
      <x:c r="J223" s="1">
        <x:v>45568</x:v>
      </x:c>
      <x:c r="K223" t="s">
        <x:v>27</x:v>
      </x:c>
      <x:c r="M223"/>
      <x:c r="N223">
        <x:v>6</x:v>
      </x:c>
      <x:c r="O223">
        <x:v>8</x:v>
      </x:c>
      <x:c r="P223">
        <x:v>63</x:v>
      </x:c>
      <x:c r="Q223" t="s">
        <x:v>25</x:v>
      </x:c>
      <x:c r="R223" t="n">
        <x:f>IF(subscriptions[[#This Row],[churned]]="Yes",1,0)</x:f>
        <x:v>0</x:v>
      </x:c>
      <x:c r="S223" s="11" t="str">
        <x:f>IF(K223="Yes",(L223-J223)/30.4375,"")</x:f>
      </x:c>
      <x:c r="T223" t="str">
        <x:f>IF(AND(K223="No",P223&lt;40,O223&lt;=4),"High Risk","")</x:f>
      </x:c>
    </x:row>
    <x:row r="224">
      <x:c r="A224" t="s">
        <x:v>281</x:v>
      </x:c>
      <x:c r="B224" t="s">
        <x:v>33</x:v>
      </x:c>
      <x:c r="C224" t="s">
        <x:v>20</x:v>
      </x:c>
      <x:c r="D224" t="s">
        <x:v>43</x:v>
      </x:c>
      <x:c r="E224" t="s">
        <x:v>49</x:v>
      </x:c>
      <x:c r="F224">
        <x:v>68</x:v>
      </x:c>
      <x:c r="G224">
        <x:v>320.45</x:v>
      </x:c>
      <x:c r="H224" t="s">
        <x:v>64</x:v>
      </x:c>
      <x:c r="I224" t="s">
        <x:v>24</x:v>
      </x:c>
      <x:c r="J224" s="1">
        <x:v>45748</x:v>
      </x:c>
      <x:c r="K224" t="s">
        <x:v>25</x:v>
      </x:c>
      <x:c r="L224" s="1">
        <x:v>45949</x:v>
      </x:c>
      <x:c r="M224" t="s">
        <x:v>54</x:v>
      </x:c>
      <x:c r="N224">
        <x:v>9</x:v>
      </x:c>
      <x:c r="O224">
        <x:v>4</x:v>
      </x:c>
      <x:c r="P224">
        <x:v>42</x:v>
      </x:c>
      <x:c r="Q224" t="s">
        <x:v>27</x:v>
      </x:c>
      <x:c r="R224" t="n">
        <x:f>IF(subscriptions[[#This Row],[churned]]="Yes",1,0)</x:f>
        <x:v>1</x:v>
      </x:c>
      <x:c r="S224" s="11" t="n">
        <x:f>IF(K224="Yes",(L224-J224)/30.4375,"")</x:f>
        <x:v>6.6036960985626285</x:v>
      </x:c>
      <x:c r="T224" t="str">
        <x:f>IF(AND(K224="No",P224&lt;40,O224&lt;=4),"High Risk","")</x:f>
      </x:c>
    </x:row>
    <x:row r="225">
      <x:c r="A225" t="s">
        <x:v>282</x:v>
      </x:c>
      <x:c r="B225" t="s">
        <x:v>75</x:v>
      </x:c>
      <x:c r="C225" t="s">
        <x:v>29</x:v>
      </x:c>
      <x:c r="D225" t="s">
        <x:v>56</x:v>
      </x:c>
      <x:c r="E225" t="s">
        <x:v>22</x:v>
      </x:c>
      <x:c r="F225">
        <x:v>72</x:v>
      </x:c>
      <x:c r="G225">
        <x:v>4941.3500000000004</x:v>
      </x:c>
      <x:c r="H225" t="s">
        <x:v>102</x:v>
      </x:c>
      <x:c r="I225" t="s">
        <x:v>73</x:v>
      </x:c>
      <x:c r="J225" s="1">
        <x:v>45689</x:v>
      </x:c>
      <x:c r="K225" t="s">
        <x:v>25</x:v>
      </x:c>
      <x:c r="L225" s="1">
        <x:v>45701</x:v>
      </x:c>
      <x:c r="M225" t="s">
        <x:v>86</x:v>
      </x:c>
      <x:c r="N225">
        <x:v>0</x:v>
      </x:c>
      <x:c r="O225">
        <x:v>1</x:v>
      </x:c>
      <x:c r="P225">
        <x:v>11</x:v>
      </x:c>
      <x:c r="Q225" t="s">
        <x:v>27</x:v>
      </x:c>
      <x:c r="R225" t="n">
        <x:f>IF(subscriptions[[#This Row],[churned]]="Yes",1,0)</x:f>
        <x:v>1</x:v>
      </x:c>
      <x:c r="S225" s="11" t="n">
        <x:f>IF(K225="Yes",(L225-J225)/30.4375,"")</x:f>
        <x:v>0.3942505133470226</x:v>
      </x:c>
      <x:c r="T225" t="str">
        <x:f>IF(AND(K225="No",P225&lt;40,O225&lt;=4),"High Risk","")</x:f>
      </x:c>
    </x:row>
    <x:row r="226">
      <x:c r="A226" t="s">
        <x:v>283</x:v>
      </x:c>
      <x:c r="B226" t="s">
        <x:v>19</x:v>
      </x:c>
      <x:c r="C226" t="s">
        <x:v>29</x:v>
      </x:c>
      <x:c r="D226" t="s">
        <x:v>83</x:v>
      </x:c>
      <x:c r="E226" t="s">
        <x:v>40</x:v>
      </x:c>
      <x:c r="F226">
        <x:v>27</x:v>
      </x:c>
      <x:c r="G226">
        <x:v>329.03</x:v>
      </x:c>
      <x:c r="H226" t="s">
        <x:v>23</x:v>
      </x:c>
      <x:c r="I226" t="s">
        <x:v>24</x:v>
      </x:c>
      <x:c r="J226" s="1">
        <x:v>45978</x:v>
      </x:c>
      <x:c r="K226" t="s">
        <x:v>27</x:v>
      </x:c>
      <x:c r="M226"/>
      <x:c r="N226">
        <x:v>7</x:v>
      </x:c>
      <x:c r="O226">
        <x:v>4</x:v>
      </x:c>
      <x:c r="P226">
        <x:v>39</x:v>
      </x:c>
      <x:c r="Q226" t="s">
        <x:v>27</x:v>
      </x:c>
      <x:c r="R226" t="n">
        <x:f>IF(subscriptions[[#This Row],[churned]]="Yes",1,0)</x:f>
        <x:v>0</x:v>
      </x:c>
      <x:c r="S226" s="11" t="str">
        <x:f>IF(K226="Yes",(L226-J226)/30.4375,"")</x:f>
      </x:c>
      <x:c r="T226" t="str">
        <x:f>IF(AND(K226="No",P226&lt;40,O226&lt;=4),"High Risk","")</x:f>
        <x:v>High Risk</x:v>
      </x:c>
    </x:row>
    <x:row r="227">
      <x:c r="A227" t="s">
        <x:v>284</x:v>
      </x:c>
      <x:c r="B227" t="s">
        <x:v>19</x:v>
      </x:c>
      <x:c r="C227" t="s">
        <x:v>20</x:v>
      </x:c>
      <x:c r="D227" t="s">
        <x:v>21</x:v>
      </x:c>
      <x:c r="E227" t="s">
        <x:v>22</x:v>
      </x:c>
      <x:c r="F227">
        <x:v>64</x:v>
      </x:c>
      <x:c r="G227">
        <x:v>825.55</x:v>
      </x:c>
      <x:c r="H227" t="s">
        <x:v>23</x:v>
      </x:c>
      <x:c r="I227" t="s">
        <x:v>41</x:v>
      </x:c>
      <x:c r="J227" s="1">
        <x:v>45765</x:v>
      </x:c>
      <x:c r="K227" t="s">
        <x:v>27</x:v>
      </x:c>
      <x:c r="M227"/>
      <x:c r="N227">
        <x:v>10</x:v>
      </x:c>
      <x:c r="O227">
        <x:v>4</x:v>
      </x:c>
      <x:c r="P227">
        <x:v>87</x:v>
      </x:c>
      <x:c r="Q227" t="s">
        <x:v>27</x:v>
      </x:c>
      <x:c r="R227" t="n">
        <x:f>IF(subscriptions[[#This Row],[churned]]="Yes",1,0)</x:f>
        <x:v>0</x:v>
      </x:c>
      <x:c r="S227" s="11" t="str">
        <x:f>IF(K227="Yes",(L227-J227)/30.4375,"")</x:f>
      </x:c>
      <x:c r="T227" t="str">
        <x:f>IF(AND(K227="No",P227&lt;40,O227&lt;=4),"High Risk","")</x:f>
      </x:c>
    </x:row>
    <x:row r="228">
      <x:c r="A228" t="s">
        <x:v>285</x:v>
      </x:c>
      <x:c r="B228" t="s">
        <x:v>33</x:v>
      </x:c>
      <x:c r="C228" t="s">
        <x:v>20</x:v>
      </x:c>
      <x:c r="D228" t="s">
        <x:v>21</x:v>
      </x:c>
      <x:c r="E228" t="s">
        <x:v>46</x:v>
      </x:c>
      <x:c r="F228">
        <x:v>6</x:v>
      </x:c>
      <x:c r="G228">
        <x:v>50.75</x:v>
      </x:c>
      <x:c r="H228" t="s">
        <x:v>47</x:v>
      </x:c>
      <x:c r="I228" t="s">
        <x:v>41</x:v>
      </x:c>
      <x:c r="J228" s="1">
        <x:v>45545</x:v>
      </x:c>
      <x:c r="K228" t="s">
        <x:v>25</x:v>
      </x:c>
      <x:c r="L228" s="1">
        <x:v>45592</x:v>
      </x:c>
      <x:c r="M228" t="s">
        <x:v>86</x:v>
      </x:c>
      <x:c r="N228">
        <x:v>5</x:v>
      </x:c>
      <x:c r="O228">
        <x:v>3</x:v>
      </x:c>
      <x:c r="P228">
        <x:v>39</x:v>
      </x:c>
      <x:c r="Q228" t="s">
        <x:v>27</x:v>
      </x:c>
      <x:c r="R228" t="n">
        <x:f>IF(subscriptions[[#This Row],[churned]]="Yes",1,0)</x:f>
        <x:v>1</x:v>
      </x:c>
      <x:c r="S228" s="11" t="n">
        <x:f>IF(K228="Yes",(L228-J228)/30.4375,"")</x:f>
        <x:v>1.5441478439425051</x:v>
      </x:c>
      <x:c r="T228" t="str">
        <x:f>IF(AND(K228="No",P228&lt;40,O228&lt;=4),"High Risk","")</x:f>
      </x:c>
    </x:row>
    <x:row r="229">
      <x:c r="A229" t="s">
        <x:v>286</x:v>
      </x:c>
      <x:c r="B229" t="s">
        <x:v>33</x:v>
      </x:c>
      <x:c r="C229" t="s">
        <x:v>29</x:v>
      </x:c>
      <x:c r="D229" t="s">
        <x:v>83</x:v>
      </x:c>
      <x:c r="E229" t="s">
        <x:v>40</x:v>
      </x:c>
      <x:c r="F229">
        <x:v>10</x:v>
      </x:c>
      <x:c r="G229">
        <x:v>57.93</x:v>
      </x:c>
      <x:c r="H229" t="s">
        <x:v>23</x:v>
      </x:c>
      <x:c r="I229" t="s">
        <x:v>41</x:v>
      </x:c>
      <x:c r="J229" s="1">
        <x:v>45303</x:v>
      </x:c>
      <x:c r="K229" t="s">
        <x:v>27</x:v>
      </x:c>
      <x:c r="M229"/>
      <x:c r="N229">
        <x:v>8</x:v>
      </x:c>
      <x:c r="O229">
        <x:v>6</x:v>
      </x:c>
      <x:c r="P229">
        <x:v>46</x:v>
      </x:c>
      <x:c r="Q229" t="s">
        <x:v>25</x:v>
      </x:c>
      <x:c r="R229" t="n">
        <x:f>IF(subscriptions[[#This Row],[churned]]="Yes",1,0)</x:f>
        <x:v>0</x:v>
      </x:c>
      <x:c r="S229" s="11" t="str">
        <x:f>IF(K229="Yes",(L229-J229)/30.4375,"")</x:f>
      </x:c>
      <x:c r="T229" t="str">
        <x:f>IF(AND(K229="No",P229&lt;40,O229&lt;=4),"High Risk","")</x:f>
      </x:c>
    </x:row>
    <x:row r="230">
      <x:c r="A230" t="s">
        <x:v>287</x:v>
      </x:c>
      <x:c r="B230" t="s">
        <x:v>75</x:v>
      </x:c>
      <x:c r="C230" t="s">
        <x:v>20</x:v>
      </x:c>
      <x:c r="D230" t="s">
        <x:v>43</x:v>
      </x:c>
      <x:c r="E230" t="s">
        <x:v>49</x:v>
      </x:c>
      <x:c r="F230">
        <x:v>118</x:v>
      </x:c>
      <x:c r="G230">
        <x:v>9256.4500000000007</x:v>
      </x:c>
      <x:c r="H230" t="s">
        <x:v>23</x:v>
      </x:c>
      <x:c r="I230" t="s">
        <x:v>41</x:v>
      </x:c>
      <x:c r="J230" s="1">
        <x:v>45388</x:v>
      </x:c>
      <x:c r="K230" t="s">
        <x:v>27</x:v>
      </x:c>
      <x:c r="M230"/>
      <x:c r="N230">
        <x:v>0</x:v>
      </x:c>
      <x:c r="O230">
        <x:v>10</x:v>
      </x:c>
      <x:c r="P230">
        <x:v>85</x:v>
      </x:c>
      <x:c r="Q230" t="s">
        <x:v>27</x:v>
      </x:c>
      <x:c r="R230" t="n">
        <x:f>IF(subscriptions[[#This Row],[churned]]="Yes",1,0)</x:f>
        <x:v>0</x:v>
      </x:c>
      <x:c r="S230" s="11" t="str">
        <x:f>IF(K230="Yes",(L230-J230)/30.4375,"")</x:f>
      </x:c>
      <x:c r="T230" t="str">
        <x:f>IF(AND(K230="No",P230&lt;40,O230&lt;=4),"High Risk","")</x:f>
      </x:c>
    </x:row>
    <x:row r="231">
      <x:c r="A231" t="s">
        <x:v>288</x:v>
      </x:c>
      <x:c r="B231" t="s">
        <x:v>33</x:v>
      </x:c>
      <x:c r="C231" t="s">
        <x:v>20</x:v>
      </x:c>
      <x:c r="D231" t="s">
        <x:v>34</x:v>
      </x:c>
      <x:c r="E231" t="s">
        <x:v>40</x:v>
      </x:c>
      <x:c r="F231">
        <x:v>24</x:v>
      </x:c>
      <x:c r="G231">
        <x:v>129.05000000000001</x:v>
      </x:c>
      <x:c r="H231" t="s">
        <x:v>47</x:v>
      </x:c>
      <x:c r="I231" t="s">
        <x:v>24</x:v>
      </x:c>
      <x:c r="J231" s="1">
        <x:v>45087</x:v>
      </x:c>
      <x:c r="K231" t="s">
        <x:v>25</x:v>
      </x:c>
      <x:c r="L231" s="1">
        <x:v>45221</x:v>
      </x:c>
      <x:c r="M231" t="s">
        <x:v>54</x:v>
      </x:c>
      <x:c r="N231">
        <x:v>13</x:v>
      </x:c>
      <x:c r="O231">
        <x:v>1</x:v>
      </x:c>
      <x:c r="P231">
        <x:v>31</x:v>
      </x:c>
      <x:c r="Q231" t="s">
        <x:v>27</x:v>
      </x:c>
      <x:c r="R231" t="n">
        <x:f>IF(subscriptions[[#This Row],[churned]]="Yes",1,0)</x:f>
        <x:v>1</x:v>
      </x:c>
      <x:c r="S231" s="11" t="n">
        <x:f>IF(K231="Yes",(L231-J231)/30.4375,"")</x:f>
        <x:v>4.402464065708419</x:v>
      </x:c>
      <x:c r="T231" t="str">
        <x:f>IF(AND(K231="No",P231&lt;40,O231&lt;=4),"High Risk","")</x:f>
      </x:c>
    </x:row>
    <x:row r="232">
      <x:c r="A232" t="s">
        <x:v>289</x:v>
      </x:c>
      <x:c r="B232" t="s">
        <x:v>33</x:v>
      </x:c>
      <x:c r="C232" t="s">
        <x:v>20</x:v>
      </x:c>
      <x:c r="D232" t="s">
        <x:v>66</x:v>
      </x:c>
      <x:c r="E232" t="s">
        <x:v>22</x:v>
      </x:c>
      <x:c r="F232">
        <x:v>33</x:v>
      </x:c>
      <x:c r="G232">
        <x:v>168.2</x:v>
      </x:c>
      <x:c r="H232" t="s">
        <x:v>30</x:v>
      </x:c>
      <x:c r="I232" t="s">
        <x:v>24</x:v>
      </x:c>
      <x:c r="J232" s="1">
        <x:v>45246</x:v>
      </x:c>
      <x:c r="K232" t="s">
        <x:v>27</x:v>
      </x:c>
      <x:c r="M232"/>
      <x:c r="N232">
        <x:v>4</x:v>
      </x:c>
      <x:c r="O232">
        <x:v>9</x:v>
      </x:c>
      <x:c r="P232">
        <x:v>52</x:v>
      </x:c>
      <x:c r="Q232" t="s">
        <x:v>27</x:v>
      </x:c>
      <x:c r="R232" t="n">
        <x:f>IF(subscriptions[[#This Row],[churned]]="Yes",1,0)</x:f>
        <x:v>0</x:v>
      </x:c>
      <x:c r="S232" s="11" t="str">
        <x:f>IF(K232="Yes",(L232-J232)/30.4375,"")</x:f>
      </x:c>
      <x:c r="T232" t="str">
        <x:f>IF(AND(K232="No",P232&lt;40,O232&lt;=4),"High Risk","")</x:f>
      </x:c>
    </x:row>
    <x:row r="233">
      <x:c r="A233" t="s">
        <x:v>290</x:v>
      </x:c>
      <x:c r="B233" t="s">
        <x:v>19</x:v>
      </x:c>
      <x:c r="C233" t="s">
        <x:v>20</x:v>
      </x:c>
      <x:c r="D233" t="s">
        <x:v>21</x:v>
      </x:c>
      <x:c r="E233" t="s">
        <x:v>22</x:v>
      </x:c>
      <x:c r="F233">
        <x:v>44</x:v>
      </x:c>
      <x:c r="G233">
        <x:v>588.54999999999995</x:v>
      </x:c>
      <x:c r="H233" t="s">
        <x:v>23</x:v>
      </x:c>
      <x:c r="I233" t="s">
        <x:v>41</x:v>
      </x:c>
      <x:c r="J233" s="1">
        <x:v>45817</x:v>
      </x:c>
      <x:c r="K233" t="s">
        <x:v>27</x:v>
      </x:c>
      <x:c r="M233"/>
      <x:c r="N233">
        <x:v>9</x:v>
      </x:c>
      <x:c r="O233">
        <x:v>5</x:v>
      </x:c>
      <x:c r="P233">
        <x:v>71</x:v>
      </x:c>
      <x:c r="Q233" t="s">
        <x:v>27</x:v>
      </x:c>
      <x:c r="R233" t="n">
        <x:f>IF(subscriptions[[#This Row],[churned]]="Yes",1,0)</x:f>
        <x:v>0</x:v>
      </x:c>
      <x:c r="S233" s="11" t="str">
        <x:f>IF(K233="Yes",(L233-J233)/30.4375,"")</x:f>
      </x:c>
      <x:c r="T233" t="str">
        <x:f>IF(AND(K233="No",P233&lt;40,O233&lt;=4),"High Risk","")</x:f>
      </x:c>
    </x:row>
    <x:row r="234">
      <x:c r="A234" t="s">
        <x:v>291</x:v>
      </x:c>
      <x:c r="B234" t="s">
        <x:v>19</x:v>
      </x:c>
      <x:c r="C234" t="s">
        <x:v>20</x:v>
      </x:c>
      <x:c r="D234" t="s">
        <x:v>39</x:v>
      </x:c>
      <x:c r="E234" t="s">
        <x:v>49</x:v>
      </x:c>
      <x:c r="F234">
        <x:v>112</x:v>
      </x:c>
      <x:c r="G234">
        <x:v>1394.35</x:v>
      </x:c>
      <x:c r="H234" t="s">
        <x:v>36</x:v>
      </x:c>
      <x:c r="I234" t="s">
        <x:v>24</x:v>
      </x:c>
      <x:c r="J234" s="1">
        <x:v>45695</x:v>
      </x:c>
      <x:c r="K234" t="s">
        <x:v>27</x:v>
      </x:c>
      <x:c r="M234"/>
      <x:c r="N234">
        <x:v>0</x:v>
      </x:c>
      <x:c r="O234">
        <x:v>8</x:v>
      </x:c>
      <x:c r="P234">
        <x:v>17</x:v>
      </x:c>
      <x:c r="Q234" t="s">
        <x:v>27</x:v>
      </x:c>
      <x:c r="R234" t="n">
        <x:f>IF(subscriptions[[#This Row],[churned]]="Yes",1,0)</x:f>
        <x:v>0</x:v>
      </x:c>
      <x:c r="S234" s="11" t="str">
        <x:f>IF(K234="Yes",(L234-J234)/30.4375,"")</x:f>
      </x:c>
      <x:c r="T234" t="str">
        <x:f>IF(AND(K234="No",P234&lt;40,O234&lt;=4),"High Risk","")</x:f>
      </x:c>
    </x:row>
    <x:row r="235">
      <x:c r="A235" t="s">
        <x:v>292</x:v>
      </x:c>
      <x:c r="B235" t="s">
        <x:v>38</x:v>
      </x:c>
      <x:c r="C235" t="s">
        <x:v>20</x:v>
      </x:c>
      <x:c r="D235" t="s">
        <x:v>83</x:v>
      </x:c>
      <x:c r="E235" t="s">
        <x:v>22</x:v>
      </x:c>
      <x:c r="F235">
        <x:v>55</x:v>
      </x:c>
      <x:c r="G235">
        <x:v>1810.9</x:v>
      </x:c>
      <x:c r="H235" t="s">
        <x:v>64</x:v>
      </x:c>
      <x:c r="I235" t="s">
        <x:v>24</x:v>
      </x:c>
      <x:c r="J235" s="1">
        <x:v>45385</x:v>
      </x:c>
      <x:c r="K235" t="s">
        <x:v>25</x:v>
      </x:c>
      <x:c r="L235" s="1">
        <x:v>45630</x:v>
      </x:c>
      <x:c r="M235" t="s">
        <x:v>50</x:v>
      </x:c>
      <x:c r="N235">
        <x:v>2</x:v>
      </x:c>
      <x:c r="O235">
        <x:v>2</x:v>
      </x:c>
      <x:c r="P235">
        <x:v>15</x:v>
      </x:c>
      <x:c r="Q235" t="s">
        <x:v>27</x:v>
      </x:c>
      <x:c r="R235" t="n">
        <x:f>IF(subscriptions[[#This Row],[churned]]="Yes",1,0)</x:f>
        <x:v>1</x:v>
      </x:c>
      <x:c r="S235" s="11" t="n">
        <x:f>IF(K235="Yes",(L235-J235)/30.4375,"")</x:f>
        <x:v>8.049281314168377</x:v>
      </x:c>
      <x:c r="T235" t="str">
        <x:f>IF(AND(K235="No",P235&lt;40,O235&lt;=4),"High Risk","")</x:f>
      </x:c>
    </x:row>
    <x:row r="236">
      <x:c r="A236" t="s">
        <x:v>293</x:v>
      </x:c>
      <x:c r="B236" t="s">
        <x:v>38</x:v>
      </x:c>
      <x:c r="C236" t="s">
        <x:v>29</x:v>
      </x:c>
      <x:c r="D236" t="s">
        <x:v>83</x:v>
      </x:c>
      <x:c r="E236" t="s">
        <x:v>40</x:v>
      </x:c>
      <x:c r="F236">
        <x:v>15</x:v>
      </x:c>
      <x:c r="G236">
        <x:v>524.37</x:v>
      </x:c>
      <x:c r="H236" t="s">
        <x:v>64</x:v>
      </x:c>
      <x:c r="I236" t="s">
        <x:v>24</x:v>
      </x:c>
      <x:c r="J236" s="1">
        <x:v>45421</x:v>
      </x:c>
      <x:c r="K236" t="s">
        <x:v>27</x:v>
      </x:c>
      <x:c r="M236"/>
      <x:c r="N236">
        <x:v>6</x:v>
      </x:c>
      <x:c r="O236">
        <x:v>9</x:v>
      </x:c>
      <x:c r="P236">
        <x:v>23</x:v>
      </x:c>
      <x:c r="Q236" t="s">
        <x:v>25</x:v>
      </x:c>
      <x:c r="R236" t="n">
        <x:f>IF(subscriptions[[#This Row],[churned]]="Yes",1,0)</x:f>
        <x:v>0</x:v>
      </x:c>
      <x:c r="S236" s="11" t="str">
        <x:f>IF(K236="Yes",(L236-J236)/30.4375,"")</x:f>
      </x:c>
      <x:c r="T236" t="str">
        <x:f>IF(AND(K236="No",P236&lt;40,O236&lt;=4),"High Risk","")</x:f>
      </x:c>
    </x:row>
    <x:row r="237">
      <x:c r="A237" t="s">
        <x:v>294</x:v>
      </x:c>
      <x:c r="B237" t="s">
        <x:v>33</x:v>
      </x:c>
      <x:c r="C237" t="s">
        <x:v>20</x:v>
      </x:c>
      <x:c r="D237" t="s">
        <x:v>53</x:v>
      </x:c>
      <x:c r="E237" t="s">
        <x:v>49</x:v>
      </x:c>
      <x:c r="F237">
        <x:v>45</x:v>
      </x:c>
      <x:c r="G237">
        <x:v>220.4</x:v>
      </x:c>
      <x:c r="H237" t="s">
        <x:v>64</x:v>
      </x:c>
      <x:c r="I237" t="s">
        <x:v>41</x:v>
      </x:c>
      <x:c r="J237" s="1">
        <x:v>45117</x:v>
      </x:c>
      <x:c r="K237" t="s">
        <x:v>25</x:v>
      </x:c>
      <x:c r="L237" s="1">
        <x:v>45119</x:v>
      </x:c>
      <x:c r="M237" t="s">
        <x:v>60</x:v>
      </x:c>
      <x:c r="N237">
        <x:v>7</x:v>
      </x:c>
      <x:c r="O237">
        <x:v>3</x:v>
      </x:c>
      <x:c r="P237">
        <x:v>49</x:v>
      </x:c>
      <x:c r="Q237" t="s">
        <x:v>27</x:v>
      </x:c>
      <x:c r="R237" t="n">
        <x:f>IF(subscriptions[[#This Row],[churned]]="Yes",1,0)</x:f>
        <x:v>1</x:v>
      </x:c>
      <x:c r="S237" s="11" t="n">
        <x:f>IF(K237="Yes",(L237-J237)/30.4375,"")</x:f>
        <x:v>0.06570841889117043</x:v>
      </x:c>
      <x:c r="T237" t="str">
        <x:f>IF(AND(K237="No",P237&lt;40,O237&lt;=4),"High Risk","")</x:f>
      </x:c>
    </x:row>
    <x:row r="238">
      <x:c r="A238" t="s">
        <x:v>295</x:v>
      </x:c>
      <x:c r="B238" t="s">
        <x:v>19</x:v>
      </x:c>
      <x:c r="C238" t="s">
        <x:v>20</x:v>
      </x:c>
      <x:c r="D238" t="s">
        <x:v>83</x:v>
      </x:c>
      <x:c r="E238" t="s">
        <x:v>35</x:v>
      </x:c>
      <x:c r="F238">
        <x:v>109</x:v>
      </x:c>
      <x:c r="G238">
        <x:v>1358.8</x:v>
      </x:c>
      <x:c r="H238" t="s">
        <x:v>30</x:v>
      </x:c>
      <x:c r="I238" t="s">
        <x:v>41</x:v>
      </x:c>
      <x:c r="J238" s="1">
        <x:v>44788</x:v>
      </x:c>
      <x:c r="K238" t="s">
        <x:v>27</x:v>
      </x:c>
      <x:c r="M238"/>
      <x:c r="N238">
        <x:v>0</x:v>
      </x:c>
      <x:c r="O238">
        <x:v>3</x:v>
      </x:c>
      <x:c r="P238">
        <x:v>30</x:v>
      </x:c>
      <x:c r="Q238" t="s">
        <x:v>27</x:v>
      </x:c>
      <x:c r="R238" t="n">
        <x:f>IF(subscriptions[[#This Row],[churned]]="Yes",1,0)</x:f>
        <x:v>0</x:v>
      </x:c>
      <x:c r="S238" s="11" t="str">
        <x:f>IF(K238="Yes",(L238-J238)/30.4375,"")</x:f>
      </x:c>
      <x:c r="T238" t="str">
        <x:f>IF(AND(K238="No",P238&lt;40,O238&lt;=4),"High Risk","")</x:f>
        <x:v>High Risk</x:v>
      </x:c>
    </x:row>
    <x:row r="239">
      <x:c r="A239" t="s">
        <x:v>296</x:v>
      </x:c>
      <x:c r="B239" t="s">
        <x:v>38</x:v>
      </x:c>
      <x:c r="C239" t="s">
        <x:v>20</x:v>
      </x:c>
      <x:c r="D239" t="s">
        <x:v>39</x:v>
      </x:c>
      <x:c r="E239" t="s">
        <x:v>22</x:v>
      </x:c>
      <x:c r="F239">
        <x:v>29</x:v>
      </x:c>
      <x:c r="G239">
        <x:v>1034.8</x:v>
      </x:c>
      <x:c r="H239" t="s">
        <x:v>47</x:v>
      </x:c>
      <x:c r="I239" t="s">
        <x:v>24</x:v>
      </x:c>
      <x:c r="J239" s="1">
        <x:v>45045</x:v>
      </x:c>
      <x:c r="K239" t="s">
        <x:v>27</x:v>
      </x:c>
      <x:c r="M239"/>
      <x:c r="N239">
        <x:v>12</x:v>
      </x:c>
      <x:c r="O239">
        <x:v>1</x:v>
      </x:c>
      <x:c r="P239">
        <x:v>86</x:v>
      </x:c>
      <x:c r="Q239" t="s">
        <x:v>27</x:v>
      </x:c>
      <x:c r="R239" t="n">
        <x:f>IF(subscriptions[[#This Row],[churned]]="Yes",1,0)</x:f>
        <x:v>0</x:v>
      </x:c>
      <x:c r="S239" s="11" t="str">
        <x:f>IF(K239="Yes",(L239-J239)/30.4375,"")</x:f>
      </x:c>
      <x:c r="T239" t="str">
        <x:f>IF(AND(K239="No",P239&lt;40,O239&lt;=4),"High Risk","")</x:f>
      </x:c>
    </x:row>
    <x:row r="240">
      <x:c r="A240" t="s">
        <x:v>297</x:v>
      </x:c>
      <x:c r="B240" t="s">
        <x:v>38</x:v>
      </x:c>
      <x:c r="C240" t="s">
        <x:v>20</x:v>
      </x:c>
      <x:c r="D240" t="s">
        <x:v>53</x:v>
      </x:c>
      <x:c r="E240" t="s">
        <x:v>40</x:v>
      </x:c>
      <x:c r="F240">
        <x:v>34</x:v>
      </x:c>
      <x:c r="G240">
        <x:v>1184.05</x:v>
      </x:c>
      <x:c r="H240" t="s">
        <x:v>36</x:v>
      </x:c>
      <x:c r="I240" t="s">
        <x:v>73</x:v>
      </x:c>
      <x:c r="J240" s="1">
        <x:v>44667</x:v>
      </x:c>
      <x:c r="K240" t="s">
        <x:v>25</x:v>
      </x:c>
      <x:c r="L240" s="1">
        <x:v>45109</x:v>
      </x:c>
      <x:c r="M240" t="s">
        <x:v>86</x:v>
      </x:c>
      <x:c r="N240">
        <x:v>8</x:v>
      </x:c>
      <x:c r="O240">
        <x:v>3</x:v>
      </x:c>
      <x:c r="P240">
        <x:v>24</x:v>
      </x:c>
      <x:c r="Q240" t="s">
        <x:v>27</x:v>
      </x:c>
      <x:c r="R240" t="n">
        <x:f>IF(subscriptions[[#This Row],[churned]]="Yes",1,0)</x:f>
        <x:v>1</x:v>
      </x:c>
      <x:c r="S240" s="11" t="n">
        <x:f>IF(K240="Yes",(L240-J240)/30.4375,"")</x:f>
        <x:v>14.521560574948666</x:v>
      </x:c>
      <x:c r="T240" t="str">
        <x:f>IF(AND(K240="No",P240&lt;40,O240&lt;=4),"High Risk","")</x:f>
      </x:c>
    </x:row>
    <x:row r="241">
      <x:c r="A241" t="s">
        <x:v>298</x:v>
      </x:c>
      <x:c r="B241" t="s">
        <x:v>33</x:v>
      </x:c>
      <x:c r="C241" t="s">
        <x:v>29</x:v>
      </x:c>
      <x:c r="D241" t="s">
        <x:v>72</x:v>
      </x:c>
      <x:c r="E241" t="s">
        <x:v>46</x:v>
      </x:c>
      <x:c r="F241">
        <x:v>4</x:v>
      </x:c>
      <x:c r="G241">
        <x:v>35.74</x:v>
      </x:c>
      <x:c r="H241" t="s">
        <x:v>102</x:v>
      </x:c>
      <x:c r="I241" t="s">
        <x:v>59</x:v>
      </x:c>
      <x:c r="J241" s="1">
        <x:v>45703</x:v>
      </x:c>
      <x:c r="K241" t="s">
        <x:v>27</x:v>
      </x:c>
      <x:c r="M241"/>
      <x:c r="N241">
        <x:v>6</x:v>
      </x:c>
      <x:c r="O241">
        <x:v>2</x:v>
      </x:c>
      <x:c r="P241">
        <x:v>23</x:v>
      </x:c>
      <x:c r="Q241" t="s">
        <x:v>27</x:v>
      </x:c>
      <x:c r="R241" t="n">
        <x:f>IF(subscriptions[[#This Row],[churned]]="Yes",1,0)</x:f>
        <x:v>0</x:v>
      </x:c>
      <x:c r="S241" s="11" t="str">
        <x:f>IF(K241="Yes",(L241-J241)/30.4375,"")</x:f>
      </x:c>
      <x:c r="T241" t="str">
        <x:f>IF(AND(K241="No",P241&lt;40,O241&lt;=4),"High Risk","")</x:f>
        <x:v>High Risk</x:v>
      </x:c>
    </x:row>
    <x:row r="242">
      <x:c r="A242" t="s">
        <x:v>299</x:v>
      </x:c>
      <x:c r="B242" t="s">
        <x:v>33</x:v>
      </x:c>
      <x:c r="C242" t="s">
        <x:v>20</x:v>
      </x:c>
      <x:c r="D242" t="s">
        <x:v>45</x:v>
      </x:c>
      <x:c r="E242" t="s">
        <x:v>22</x:v>
      </x:c>
      <x:c r="F242">
        <x:v>66</x:v>
      </x:c>
      <x:c r="G242">
        <x:v>311.75</x:v>
      </x:c>
      <x:c r="H242" t="s">
        <x:v>47</x:v>
      </x:c>
      <x:c r="I242" t="s">
        <x:v>59</x:v>
      </x:c>
      <x:c r="J242" s="1">
        <x:v>45178</x:v>
      </x:c>
      <x:c r="K242" t="s">
        <x:v>25</x:v>
      </x:c>
      <x:c r="L242" s="1">
        <x:v>45228</x:v>
      </x:c>
      <x:c r="M242" t="s">
        <x:v>57</x:v>
      </x:c>
      <x:c r="N242">
        <x:v>1</x:v>
      </x:c>
      <x:c r="O242">
        <x:v>4</x:v>
      </x:c>
      <x:c r="P242">
        <x:v>15</x:v>
      </x:c>
      <x:c r="Q242" t="s">
        <x:v>27</x:v>
      </x:c>
      <x:c r="R242" t="n">
        <x:f>IF(subscriptions[[#This Row],[churned]]="Yes",1,0)</x:f>
        <x:v>1</x:v>
      </x:c>
      <x:c r="S242" s="11" t="n">
        <x:f>IF(K242="Yes",(L242-J242)/30.4375,"")</x:f>
        <x:v>1.6427104722792607</x:v>
      </x:c>
      <x:c r="T242" t="str">
        <x:f>IF(AND(K242="No",P242&lt;40,O242&lt;=4),"High Risk","")</x:f>
      </x:c>
    </x:row>
    <x:row r="243">
      <x:c r="A243" t="s">
        <x:v>300</x:v>
      </x:c>
      <x:c r="B243" t="s">
        <x:v>38</x:v>
      </x:c>
      <x:c r="C243" t="s">
        <x:v>29</x:v>
      </x:c>
      <x:c r="D243" t="s">
        <x:v>43</x:v>
      </x:c>
      <x:c r="E243" t="s">
        <x:v>40</x:v>
      </x:c>
      <x:c r="F243">
        <x:v>10</x:v>
      </x:c>
      <x:c r="G243">
        <x:v>397.5</x:v>
      </x:c>
      <x:c r="H243" t="s">
        <x:v>64</x:v>
      </x:c>
      <x:c r="I243" t="s">
        <x:v>59</x:v>
      </x:c>
      <x:c r="J243" s="1">
        <x:v>45232</x:v>
      </x:c>
      <x:c r="K243" t="s">
        <x:v>27</x:v>
      </x:c>
      <x:c r="M243"/>
      <x:c r="N243">
        <x:v>1</x:v>
      </x:c>
      <x:c r="O243">
        <x:v>8</x:v>
      </x:c>
      <x:c r="P243">
        <x:v>38</x:v>
      </x:c>
      <x:c r="Q243" t="s">
        <x:v>27</x:v>
      </x:c>
      <x:c r="R243" t="n">
        <x:f>IF(subscriptions[[#This Row],[churned]]="Yes",1,0)</x:f>
        <x:v>0</x:v>
      </x:c>
      <x:c r="S243" s="11" t="str">
        <x:f>IF(K243="Yes",(L243-J243)/30.4375,"")</x:f>
      </x:c>
      <x:c r="T243" t="str">
        <x:f>IF(AND(K243="No",P243&lt;40,O243&lt;=4),"High Risk","")</x:f>
      </x:c>
    </x:row>
    <x:row r="244">
      <x:c r="A244" t="s">
        <x:v>301</x:v>
      </x:c>
      <x:c r="B244" t="s">
        <x:v>75</x:v>
      </x:c>
      <x:c r="C244" t="s">
        <x:v>20</x:v>
      </x:c>
      <x:c r="D244" t="s">
        <x:v>21</x:v>
      </x:c>
      <x:c r="E244" t="s">
        <x:v>49</x:v>
      </x:c>
      <x:c r="F244">
        <x:v>122</x:v>
      </x:c>
      <x:c r="G244">
        <x:v>9555.85</x:v>
      </x:c>
      <x:c r="H244" t="s">
        <x:v>23</x:v>
      </x:c>
      <x:c r="I244" t="s">
        <x:v>24</x:v>
      </x:c>
      <x:c r="J244" s="1">
        <x:v>45572</x:v>
      </x:c>
      <x:c r="K244" t="s">
        <x:v>27</x:v>
      </x:c>
      <x:c r="M244"/>
      <x:c r="N244">
        <x:v>4</x:v>
      </x:c>
      <x:c r="O244">
        <x:v>7</x:v>
      </x:c>
      <x:c r="P244">
        <x:v>94</x:v>
      </x:c>
      <x:c r="Q244" t="s">
        <x:v>25</x:v>
      </x:c>
      <x:c r="R244" t="n">
        <x:f>IF(subscriptions[[#This Row],[churned]]="Yes",1,0)</x:f>
        <x:v>0</x:v>
      </x:c>
      <x:c r="S244" s="11" t="str">
        <x:f>IF(K244="Yes",(L244-J244)/30.4375,"")</x:f>
      </x:c>
      <x:c r="T244" t="str">
        <x:f>IF(AND(K244="No",P244&lt;40,O244&lt;=4),"High Risk","")</x:f>
      </x:c>
    </x:row>
    <x:row r="245">
      <x:c r="A245" t="s">
        <x:v>302</x:v>
      </x:c>
      <x:c r="B245" t="s">
        <x:v>33</x:v>
      </x:c>
      <x:c r="C245" t="s">
        <x:v>20</x:v>
      </x:c>
      <x:c r="D245" t="s">
        <x:v>45</x:v>
      </x:c>
      <x:c r="E245" t="s">
        <x:v>22</x:v>
      </x:c>
      <x:c r="F245">
        <x:v>23</x:v>
      </x:c>
      <x:c r="G245">
        <x:v>124.7</x:v>
      </x:c>
      <x:c r="H245" t="s">
        <x:v>64</x:v>
      </x:c>
      <x:c r="I245" t="s">
        <x:v>41</x:v>
      </x:c>
      <x:c r="J245" s="1">
        <x:v>45768</x:v>
      </x:c>
      <x:c r="K245" t="s">
        <x:v>25</x:v>
      </x:c>
      <x:c r="L245" s="1">
        <x:v>45784</x:v>
      </x:c>
      <x:c r="M245" t="s">
        <x:v>50</x:v>
      </x:c>
      <x:c r="N245">
        <x:v>7</x:v>
      </x:c>
      <x:c r="O245">
        <x:v>6</x:v>
      </x:c>
      <x:c r="P245">
        <x:v>18</x:v>
      </x:c>
      <x:c r="Q245" t="s">
        <x:v>27</x:v>
      </x:c>
      <x:c r="R245" t="n">
        <x:f>IF(subscriptions[[#This Row],[churned]]="Yes",1,0)</x:f>
        <x:v>1</x:v>
      </x:c>
      <x:c r="S245" s="11" t="n">
        <x:f>IF(K245="Yes",(L245-J245)/30.4375,"")</x:f>
        <x:v>0.5256673511293635</x:v>
      </x:c>
      <x:c r="T245" t="str">
        <x:f>IF(AND(K245="No",P245&lt;40,O245&lt;=4),"High Risk","")</x:f>
      </x:c>
    </x:row>
    <x:row r="246">
      <x:c r="A246" t="s">
        <x:v>303</x:v>
      </x:c>
      <x:c r="B246" t="s">
        <x:v>38</x:v>
      </x:c>
      <x:c r="C246" t="s">
        <x:v>29</x:v>
      </x:c>
      <x:c r="D246" t="s">
        <x:v>43</x:v>
      </x:c>
      <x:c r="E246" t="s">
        <x:v>46</x:v>
      </x:c>
      <x:c r="F246">
        <x:v>1</x:v>
      </x:c>
      <x:c r="G246">
        <x:v>169.15</x:v>
      </x:c>
      <x:c r="H246" t="s">
        <x:v>23</x:v>
      </x:c>
      <x:c r="I246" t="s">
        <x:v>24</x:v>
      </x:c>
      <x:c r="J246" s="1">
        <x:v>45989</x:v>
      </x:c>
      <x:c r="K246" t="s">
        <x:v>27</x:v>
      </x:c>
      <x:c r="M246"/>
      <x:c r="N246">
        <x:v>5</x:v>
      </x:c>
      <x:c r="O246">
        <x:v>3</x:v>
      </x:c>
      <x:c r="P246">
        <x:v>39</x:v>
      </x:c>
      <x:c r="Q246" t="s">
        <x:v>27</x:v>
      </x:c>
      <x:c r="R246" t="n">
        <x:f>IF(subscriptions[[#This Row],[churned]]="Yes",1,0)</x:f>
        <x:v>0</x:v>
      </x:c>
      <x:c r="S246" s="11" t="str">
        <x:f>IF(K246="Yes",(L246-J246)/30.4375,"")</x:f>
      </x:c>
      <x:c r="T246" t="str">
        <x:f>IF(AND(K246="No",P246&lt;40,O246&lt;=4),"High Risk","")</x:f>
        <x:v>High Risk</x:v>
      </x:c>
    </x:row>
    <x:row r="247">
      <x:c r="A247" t="s">
        <x:v>304</x:v>
      </x:c>
      <x:c r="B247" t="s">
        <x:v>19</x:v>
      </x:c>
      <x:c r="C247" t="s">
        <x:v>20</x:v>
      </x:c>
      <x:c r="D247" t="s">
        <x:v>83</x:v>
      </x:c>
      <x:c r="E247" t="s">
        <x:v>46</x:v>
      </x:c>
      <x:c r="F247">
        <x:v>6</x:v>
      </x:c>
      <x:c r="G247">
        <x:v>138.25</x:v>
      </x:c>
      <x:c r="H247" t="s">
        <x:v>47</x:v>
      </x:c>
      <x:c r="I247" t="s">
        <x:v>41</x:v>
      </x:c>
      <x:c r="J247" s="1">
        <x:v>45397</x:v>
      </x:c>
      <x:c r="K247" t="s">
        <x:v>25</x:v>
      </x:c>
      <x:c r="L247" s="1">
        <x:v>45466</x:v>
      </x:c>
      <x:c r="M247" t="s">
        <x:v>86</x:v>
      </x:c>
      <x:c r="N247">
        <x:v>5</x:v>
      </x:c>
      <x:c r="O247">
        <x:v>4</x:v>
      </x:c>
      <x:c r="P247">
        <x:v>14</x:v>
      </x:c>
      <x:c r="Q247" t="s">
        <x:v>27</x:v>
      </x:c>
      <x:c r="R247" t="n">
        <x:f>IF(subscriptions[[#This Row],[churned]]="Yes",1,0)</x:f>
        <x:v>1</x:v>
      </x:c>
      <x:c r="S247" s="11" t="n">
        <x:f>IF(K247="Yes",(L247-J247)/30.4375,"")</x:f>
        <x:v>2.2669404517453797</x:v>
      </x:c>
      <x:c r="T247" t="str">
        <x:f>IF(AND(K247="No",P247&lt;40,O247&lt;=4),"High Risk","")</x:f>
      </x:c>
    </x:row>
    <x:row r="248">
      <x:c r="A248" t="s">
        <x:v>305</x:v>
      </x:c>
      <x:c r="B248" t="s">
        <x:v>38</x:v>
      </x:c>
      <x:c r="C248" t="s">
        <x:v>29</x:v>
      </x:c>
      <x:c r="D248" t="s">
        <x:v>53</x:v>
      </x:c>
      <x:c r="E248" t="s">
        <x:v>35</x:v>
      </x:c>
      <x:c r="F248">
        <x:v>251</x:v>
      </x:c>
      <x:c r="G248">
        <x:v>6512.27</x:v>
      </x:c>
      <x:c r="H248" t="s">
        <x:v>102</x:v>
      </x:c>
      <x:c r="I248" t="s">
        <x:v>73</x:v>
      </x:c>
      <x:c r="J248" s="1">
        <x:v>45968</x:v>
      </x:c>
      <x:c r="K248" t="s">
        <x:v>27</x:v>
      </x:c>
      <x:c r="M248"/>
      <x:c r="N248">
        <x:v>10</x:v>
      </x:c>
      <x:c r="O248">
        <x:v>6</x:v>
      </x:c>
      <x:c r="P248">
        <x:v>38</x:v>
      </x:c>
      <x:c r="Q248" t="s">
        <x:v>27</x:v>
      </x:c>
      <x:c r="R248" t="n">
        <x:f>IF(subscriptions[[#This Row],[churned]]="Yes",1,0)</x:f>
        <x:v>0</x:v>
      </x:c>
      <x:c r="S248" s="11" t="str">
        <x:f>IF(K248="Yes",(L248-J248)/30.4375,"")</x:f>
      </x:c>
      <x:c r="T248" t="str">
        <x:f>IF(AND(K248="No",P248&lt;40,O248&lt;=4),"High Risk","")</x:f>
      </x:c>
    </x:row>
    <x:row r="249">
      <x:c r="A249" t="s">
        <x:v>306</x:v>
      </x:c>
      <x:c r="B249" t="s">
        <x:v>33</x:v>
      </x:c>
      <x:c r="C249" t="s">
        <x:v>29</x:v>
      </x:c>
      <x:c r="D249" t="s">
        <x:v>56</x:v>
      </x:c>
      <x:c r="E249" t="s">
        <x:v>49</x:v>
      </x:c>
      <x:c r="F249">
        <x:v>111</x:v>
      </x:c>
      <x:c r="G249">
        <x:v>431.37</x:v>
      </x:c>
      <x:c r="H249" t="s">
        <x:v>30</x:v>
      </x:c>
      <x:c r="I249" t="s">
        <x:v>41</x:v>
      </x:c>
      <x:c r="J249" s="1">
        <x:v>45373</x:v>
      </x:c>
      <x:c r="K249" t="s">
        <x:v>25</x:v>
      </x:c>
      <x:c r="L249" s="1">
        <x:v>45614</x:v>
      </x:c>
      <x:c r="M249" t="s">
        <x:v>60</x:v>
      </x:c>
      <x:c r="N249">
        <x:v>5</x:v>
      </x:c>
      <x:c r="O249">
        <x:v>1</x:v>
      </x:c>
      <x:c r="P249">
        <x:v>36</x:v>
      </x:c>
      <x:c r="Q249" t="s">
        <x:v>27</x:v>
      </x:c>
      <x:c r="R249" t="n">
        <x:f>IF(subscriptions[[#This Row],[churned]]="Yes",1,0)</x:f>
        <x:v>1</x:v>
      </x:c>
      <x:c r="S249" s="11" t="n">
        <x:f>IF(K249="Yes",(L249-J249)/30.4375,"")</x:f>
        <x:v>7.917864476386037</x:v>
      </x:c>
      <x:c r="T249" t="str">
        <x:f>IF(AND(K249="No",P249&lt;40,O249&lt;=4),"High Risk","")</x:f>
      </x:c>
    </x:row>
    <x:row r="250">
      <x:c r="A250" t="s">
        <x:v>307</x:v>
      </x:c>
      <x:c r="B250" t="s">
        <x:v>19</x:v>
      </x:c>
      <x:c r="C250" t="s">
        <x:v>20</x:v>
      </x:c>
      <x:c r="D250" t="s">
        <x:v>34</x:v>
      </x:c>
      <x:c r="E250" t="s">
        <x:v>46</x:v>
      </x:c>
      <x:c r="F250">
        <x:v>6</x:v>
      </x:c>
      <x:c r="G250">
        <x:v>138.25</x:v>
      </x:c>
      <x:c r="H250" t="s">
        <x:v>30</x:v>
      </x:c>
      <x:c r="I250" t="s">
        <x:v>24</x:v>
      </x:c>
      <x:c r="J250" s="1">
        <x:v>45765</x:v>
      </x:c>
      <x:c r="K250" t="s">
        <x:v>25</x:v>
      </x:c>
      <x:c r="L250" s="1">
        <x:v>45945</x:v>
      </x:c>
      <x:c r="M250" t="s">
        <x:v>50</x:v>
      </x:c>
      <x:c r="N250">
        <x:v>5</x:v>
      </x:c>
      <x:c r="O250">
        <x:v>3</x:v>
      </x:c>
      <x:c r="P250">
        <x:v>36</x:v>
      </x:c>
      <x:c r="Q250" t="s">
        <x:v>27</x:v>
      </x:c>
      <x:c r="R250" t="n">
        <x:f>IF(subscriptions[[#This Row],[churned]]="Yes",1,0)</x:f>
        <x:v>1</x:v>
      </x:c>
      <x:c r="S250" s="11" t="n">
        <x:f>IF(K250="Yes",(L250-J250)/30.4375,"")</x:f>
        <x:v>5.9137577002053385</x:v>
      </x:c>
      <x:c r="T250" t="str">
        <x:f>IF(AND(K250="No",P250&lt;40,O250&lt;=4),"High Risk","")</x:f>
      </x:c>
    </x:row>
    <x:row r="251">
      <x:c r="A251" t="s">
        <x:v>308</x:v>
      </x:c>
      <x:c r="B251" t="s">
        <x:v>38</x:v>
      </x:c>
      <x:c r="C251" t="s">
        <x:v>20</x:v>
      </x:c>
      <x:c r="D251" t="s">
        <x:v>66</x:v>
      </x:c>
      <x:c r="E251" t="s">
        <x:v>46</x:v>
      </x:c>
      <x:c r="F251">
        <x:v>1</x:v>
      </x:c>
      <x:c r="G251">
        <x:v>199</x:v>
      </x:c>
      <x:c r="H251" t="s">
        <x:v>47</x:v>
      </x:c>
      <x:c r="I251" t="s">
        <x:v>24</x:v>
      </x:c>
      <x:c r="J251" s="1">
        <x:v>45944</x:v>
      </x:c>
      <x:c r="K251" t="s">
        <x:v>27</x:v>
      </x:c>
      <x:c r="M251"/>
      <x:c r="N251">
        <x:v>1</x:v>
      </x:c>
      <x:c r="O251">
        <x:v>10</x:v>
      </x:c>
      <x:c r="P251">
        <x:v>69</x:v>
      </x:c>
      <x:c r="Q251" t="s">
        <x:v>27</x:v>
      </x:c>
      <x:c r="R251" t="n">
        <x:f>IF(subscriptions[[#This Row],[churned]]="Yes",1,0)</x:f>
        <x:v>0</x:v>
      </x:c>
      <x:c r="S251" s="11" t="str">
        <x:f>IF(K251="Yes",(L251-J251)/30.4375,"")</x:f>
      </x:c>
      <x:c r="T251" t="str">
        <x:f>IF(AND(K251="No",P251&lt;40,O251&lt;=4),"High Risk","")</x:f>
      </x:c>
    </x:row>
    <x:row r="252">
      <x:c r="A252" t="s">
        <x:v>309</x:v>
      </x:c>
      <x:c r="B252" t="s">
        <x:v>33</x:v>
      </x:c>
      <x:c r="C252" t="s">
        <x:v>29</x:v>
      </x:c>
      <x:c r="D252" t="s">
        <x:v>72</x:v>
      </x:c>
      <x:c r="E252" t="s">
        <x:v>40</x:v>
      </x:c>
      <x:c r="F252">
        <x:v>31</x:v>
      </x:c>
      <x:c r="G252">
        <x:v>135.57</x:v>
      </x:c>
      <x:c r="H252" t="s">
        <x:v>36</x:v>
      </x:c>
      <x:c r="I252" t="s">
        <x:v>41</x:v>
      </x:c>
      <x:c r="J252" s="1">
        <x:v>44832</x:v>
      </x:c>
      <x:c r="K252" t="s">
        <x:v>25</x:v>
      </x:c>
      <x:c r="L252" s="1">
        <x:v>45669</x:v>
      </x:c>
      <x:c r="M252" t="s">
        <x:v>26</x:v>
      </x:c>
      <x:c r="N252">
        <x:v>0</x:v>
      </x:c>
      <x:c r="O252">
        <x:v>6</x:v>
      </x:c>
      <x:c r="P252">
        <x:v>40</x:v>
      </x:c>
      <x:c r="Q252" t="s">
        <x:v>27</x:v>
      </x:c>
      <x:c r="R252" t="n">
        <x:f>IF(subscriptions[[#This Row],[churned]]="Yes",1,0)</x:f>
        <x:v>1</x:v>
      </x:c>
      <x:c r="S252" s="11" t="n">
        <x:f>IF(K252="Yes",(L252-J252)/30.4375,"")</x:f>
        <x:v>27.498973305954827</x:v>
      </x:c>
      <x:c r="T252" t="str">
        <x:f>IF(AND(K252="No",P252&lt;40,O252&lt;=4),"High Risk","")</x:f>
      </x:c>
    </x:row>
    <x:row r="253">
      <x:c r="A253" t="s">
        <x:v>310</x:v>
      </x:c>
      <x:c r="B253" t="s">
        <x:v>38</x:v>
      </x:c>
      <x:c r="C253" t="s">
        <x:v>29</x:v>
      </x:c>
      <x:c r="D253" t="s">
        <x:v>72</x:v>
      </x:c>
      <x:c r="E253" t="s">
        <x:v>40</x:v>
      </x:c>
      <x:c r="F253">
        <x:v>19</x:v>
      </x:c>
      <x:c r="G253">
        <x:v>625.86</x:v>
      </x:c>
      <x:c r="H253" t="s">
        <x:v>102</x:v>
      </x:c>
      <x:c r="I253" t="s">
        <x:v>24</x:v>
      </x:c>
      <x:c r="J253" s="1">
        <x:v>45424</x:v>
      </x:c>
      <x:c r="K253" t="s">
        <x:v>25</x:v>
      </x:c>
      <x:c r="L253" s="1">
        <x:v>45949</x:v>
      </x:c>
      <x:c r="M253" t="s">
        <x:v>50</x:v>
      </x:c>
      <x:c r="N253">
        <x:v>15</x:v>
      </x:c>
      <x:c r="O253">
        <x:v>2</x:v>
      </x:c>
      <x:c r="P253">
        <x:v>47</x:v>
      </x:c>
      <x:c r="Q253" t="s">
        <x:v>27</x:v>
      </x:c>
      <x:c r="R253" t="n">
        <x:f>IF(subscriptions[[#This Row],[churned]]="Yes",1,0)</x:f>
        <x:v>1</x:v>
      </x:c>
      <x:c r="S253" s="11" t="n">
        <x:f>IF(K253="Yes",(L253-J253)/30.4375,"")</x:f>
        <x:v>17.248459958932237</x:v>
      </x:c>
      <x:c r="T253" t="str">
        <x:f>IF(AND(K253="No",P253&lt;40,O253&lt;=4),"High Risk","")</x:f>
      </x:c>
    </x:row>
    <x:row r="254">
      <x:c r="A254" t="s">
        <x:v>311</x:v>
      </x:c>
      <x:c r="B254" t="s">
        <x:v>19</x:v>
      </x:c>
      <x:c r="C254" t="s">
        <x:v>20</x:v>
      </x:c>
      <x:c r="D254" t="s">
        <x:v>72</x:v>
      </x:c>
      <x:c r="E254" t="s">
        <x:v>40</x:v>
      </x:c>
      <x:c r="F254">
        <x:v>32</x:v>
      </x:c>
      <x:c r="G254">
        <x:v>446.35</x:v>
      </x:c>
      <x:c r="H254" t="s">
        <x:v>23</x:v>
      </x:c>
      <x:c r="I254" t="s">
        <x:v>24</x:v>
      </x:c>
      <x:c r="J254" s="1">
        <x:v>44894</x:v>
      </x:c>
      <x:c r="K254" t="s">
        <x:v>25</x:v>
      </x:c>
      <x:c r="L254" s="1">
        <x:v>45304</x:v>
      </x:c>
      <x:c r="M254" t="s">
        <x:v>60</x:v>
      </x:c>
      <x:c r="N254">
        <x:v>7</x:v>
      </x:c>
      <x:c r="O254">
        <x:v>1</x:v>
      </x:c>
      <x:c r="P254">
        <x:v>20</x:v>
      </x:c>
      <x:c r="Q254" t="s">
        <x:v>27</x:v>
      </x:c>
      <x:c r="R254" t="n">
        <x:f>IF(subscriptions[[#This Row],[churned]]="Yes",1,0)</x:f>
        <x:v>1</x:v>
      </x:c>
      <x:c r="S254" s="11" t="n">
        <x:f>IF(K254="Yes",(L254-J254)/30.4375,"")</x:f>
        <x:v>13.470225872689939</x:v>
      </x:c>
      <x:c r="T254" t="str">
        <x:f>IF(AND(K254="No",P254&lt;40,O254&lt;=4),"High Risk","")</x:f>
      </x:c>
    </x:row>
    <x:row r="255">
      <x:c r="A255" t="s">
        <x:v>312</x:v>
      </x:c>
      <x:c r="B255" t="s">
        <x:v>33</x:v>
      </x:c>
      <x:c r="C255" t="s">
        <x:v>29</x:v>
      </x:c>
      <x:c r="D255" t="s">
        <x:v>53</x:v>
      </x:c>
      <x:c r="E255" t="s">
        <x:v>40</x:v>
      </x:c>
      <x:c r="F255">
        <x:v>12</x:v>
      </x:c>
      <x:c r="G255">
        <x:v>65.319999999999993</x:v>
      </x:c>
      <x:c r="H255" t="s">
        <x:v>23</x:v>
      </x:c>
      <x:c r="I255" t="s">
        <x:v>41</x:v>
      </x:c>
      <x:c r="J255" s="1">
        <x:v>45795</x:v>
      </x:c>
      <x:c r="K255" t="s">
        <x:v>27</x:v>
      </x:c>
      <x:c r="M255"/>
      <x:c r="N255">
        <x:v>0</x:v>
      </x:c>
      <x:c r="O255">
        <x:v>9</x:v>
      </x:c>
      <x:c r="P255">
        <x:v>50</x:v>
      </x:c>
      <x:c r="Q255" t="s">
        <x:v>25</x:v>
      </x:c>
      <x:c r="R255" t="n">
        <x:f>IF(subscriptions[[#This Row],[churned]]="Yes",1,0)</x:f>
        <x:v>0</x:v>
      </x:c>
      <x:c r="S255" s="11" t="str">
        <x:f>IF(K255="Yes",(L255-J255)/30.4375,"")</x:f>
      </x:c>
      <x:c r="T255" t="str">
        <x:f>IF(AND(K255="No",P255&lt;40,O255&lt;=4),"High Risk","")</x:f>
      </x:c>
    </x:row>
    <x:row r="256">
      <x:c r="A256" t="s">
        <x:v>313</x:v>
      </x:c>
      <x:c r="B256" t="s">
        <x:v>38</x:v>
      </x:c>
      <x:c r="C256" t="s">
        <x:v>20</x:v>
      </x:c>
      <x:c r="D256" t="s">
        <x:v>39</x:v>
      </x:c>
      <x:c r="E256" t="s">
        <x:v>46</x:v>
      </x:c>
      <x:c r="F256">
        <x:v>1</x:v>
      </x:c>
      <x:c r="G256">
        <x:v>199</x:v>
      </x:c>
      <x:c r="H256" t="s">
        <x:v>23</x:v>
      </x:c>
      <x:c r="I256" t="s">
        <x:v>41</x:v>
      </x:c>
      <x:c r="J256" s="1">
        <x:v>44645</x:v>
      </x:c>
      <x:c r="K256" t="s">
        <x:v>25</x:v>
      </x:c>
      <x:c r="L256" s="1">
        <x:v>44671</x:v>
      </x:c>
      <x:c r="M256" t="s">
        <x:v>57</x:v>
      </x:c>
      <x:c r="N256">
        <x:v>14</x:v>
      </x:c>
      <x:c r="O256">
        <x:v>5</x:v>
      </x:c>
      <x:c r="P256">
        <x:v>28</x:v>
      </x:c>
      <x:c r="Q256" t="s">
        <x:v>27</x:v>
      </x:c>
      <x:c r="R256" t="n">
        <x:f>IF(subscriptions[[#This Row],[churned]]="Yes",1,0)</x:f>
        <x:v>1</x:v>
      </x:c>
      <x:c r="S256" s="11" t="n">
        <x:f>IF(K256="Yes",(L256-J256)/30.4375,"")</x:f>
        <x:v>0.8542094455852156</x:v>
      </x:c>
      <x:c r="T256" t="str">
        <x:f>IF(AND(K256="No",P256&lt;40,O256&lt;=4),"High Risk","")</x:f>
      </x:c>
    </x:row>
    <x:row r="257">
      <x:c r="A257" t="s">
        <x:v>314</x:v>
      </x:c>
      <x:c r="B257" t="s">
        <x:v>38</x:v>
      </x:c>
      <x:c r="C257" t="s">
        <x:v>20</x:v>
      </x:c>
      <x:c r="D257" t="s">
        <x:v>66</x:v>
      </x:c>
      <x:c r="E257" t="s">
        <x:v>40</x:v>
      </x:c>
      <x:c r="F257">
        <x:v>7</x:v>
      </x:c>
      <x:c r="G257">
        <x:v>378.1</x:v>
      </x:c>
      <x:c r="H257" t="s">
        <x:v>23</x:v>
      </x:c>
      <x:c r="I257" t="s">
        <x:v>24</x:v>
      </x:c>
      <x:c r="J257" s="1">
        <x:v>44992</x:v>
      </x:c>
      <x:c r="K257" t="s">
        <x:v>27</x:v>
      </x:c>
      <x:c r="M257"/>
      <x:c r="N257">
        <x:v>10</x:v>
      </x:c>
      <x:c r="O257">
        <x:v>10</x:v>
      </x:c>
      <x:c r="P257">
        <x:v>58</x:v>
      </x:c>
      <x:c r="Q257" t="s">
        <x:v>25</x:v>
      </x:c>
      <x:c r="R257" t="n">
        <x:f>IF(subscriptions[[#This Row],[churned]]="Yes",1,0)</x:f>
        <x:v>0</x:v>
      </x:c>
      <x:c r="S257" s="11" t="str">
        <x:f>IF(K257="Yes",(L257-J257)/30.4375,"")</x:f>
      </x:c>
      <x:c r="T257" t="str">
        <x:f>IF(AND(K257="No",P257&lt;40,O257&lt;=4),"High Risk","")</x:f>
      </x:c>
    </x:row>
    <x:row r="258">
      <x:c r="A258" t="s">
        <x:v>315</x:v>
      </x:c>
      <x:c r="B258" t="s">
        <x:v>33</x:v>
      </x:c>
      <x:c r="C258" t="s">
        <x:v>29</x:v>
      </x:c>
      <x:c r="D258" t="s">
        <x:v>21</x:v>
      </x:c>
      <x:c r="E258" t="s">
        <x:v>35</x:v>
      </x:c>
      <x:c r="F258">
        <x:v>285</x:v>
      </x:c>
      <x:c r="G258">
        <x:v>1074.74</x:v>
      </x:c>
      <x:c r="H258" t="s">
        <x:v>102</x:v>
      </x:c>
      <x:c r="I258" t="s">
        <x:v>24</x:v>
      </x:c>
      <x:c r="J258" s="1">
        <x:v>45562</x:v>
      </x:c>
      <x:c r="K258" t="s">
        <x:v>27</x:v>
      </x:c>
      <x:c r="M258"/>
      <x:c r="N258">
        <x:v>2</x:v>
      </x:c>
      <x:c r="O258">
        <x:v>9</x:v>
      </x:c>
      <x:c r="P258">
        <x:v>91</x:v>
      </x:c>
      <x:c r="Q258" t="s">
        <x:v>25</x:v>
      </x:c>
      <x:c r="R258" t="n">
        <x:f>IF(subscriptions[[#This Row],[churned]]="Yes",1,0)</x:f>
        <x:v>0</x:v>
      </x:c>
      <x:c r="S258" s="11" t="str">
        <x:f>IF(K258="Yes",(L258-J258)/30.4375,"")</x:f>
      </x:c>
      <x:c r="T258" t="str">
        <x:f>IF(AND(K258="No",P258&lt;40,O258&lt;=4),"High Risk","")</x:f>
      </x:c>
    </x:row>
    <x:row r="259">
      <x:c r="A259" t="s">
        <x:v>316</x:v>
      </x:c>
      <x:c r="B259" t="s">
        <x:v>33</x:v>
      </x:c>
      <x:c r="C259" t="s">
        <x:v>29</x:v>
      </x:c>
      <x:c r="D259" t="s">
        <x:v>39</x:v>
      </x:c>
      <x:c r="E259" t="s">
        <x:v>22</x:v>
      </x:c>
      <x:c r="F259">
        <x:v>31</x:v>
      </x:c>
      <x:c r="G259">
        <x:v>135.57</x:v>
      </x:c>
      <x:c r="H259" t="s">
        <x:v>47</x:v>
      </x:c>
      <x:c r="I259" t="s">
        <x:v>41</x:v>
      </x:c>
      <x:c r="J259" s="1">
        <x:v>44670</x:v>
      </x:c>
      <x:c r="K259" t="s">
        <x:v>25</x:v>
      </x:c>
      <x:c r="L259" s="1">
        <x:v>45400</x:v>
      </x:c>
      <x:c r="M259" t="s">
        <x:v>67</x:v>
      </x:c>
      <x:c r="N259">
        <x:v>4</x:v>
      </x:c>
      <x:c r="O259">
        <x:v>5</x:v>
      </x:c>
      <x:c r="P259">
        <x:v>36</x:v>
      </x:c>
      <x:c r="Q259" t="s">
        <x:v>27</x:v>
      </x:c>
      <x:c r="R259" t="n">
        <x:f>IF(subscriptions[[#This Row],[churned]]="Yes",1,0)</x:f>
        <x:v>1</x:v>
      </x:c>
      <x:c r="S259" s="11" t="n">
        <x:f>IF(K259="Yes",(L259-J259)/30.4375,"")</x:f>
        <x:v>23.983572895277206</x:v>
      </x:c>
      <x:c r="T259" t="str">
        <x:f>IF(AND(K259="No",P259&lt;40,O259&lt;=4),"High Risk","")</x:f>
      </x:c>
    </x:row>
    <x:row r="260">
      <x:c r="A260" t="s">
        <x:v>317</x:v>
      </x:c>
      <x:c r="B260" t="s">
        <x:v>19</x:v>
      </x:c>
      <x:c r="C260" t="s">
        <x:v>29</x:v>
      </x:c>
      <x:c r="D260" t="s">
        <x:v>53</x:v>
      </x:c>
      <x:c r="E260" t="s">
        <x:v>49</x:v>
      </x:c>
      <x:c r="F260">
        <x:v>143</x:v>
      </x:c>
      <x:c r="G260">
        <x:v>1497.45</x:v>
      </x:c>
      <x:c r="H260" t="s">
        <x:v>36</x:v>
      </x:c>
      <x:c r="I260" t="s">
        <x:v>59</x:v>
      </x:c>
      <x:c r="J260" s="1">
        <x:v>45840</x:v>
      </x:c>
      <x:c r="K260" t="s">
        <x:v>27</x:v>
      </x:c>
      <x:c r="M260"/>
      <x:c r="N260">
        <x:v>3</x:v>
      </x:c>
      <x:c r="O260">
        <x:v>1</x:v>
      </x:c>
      <x:c r="P260">
        <x:v>84</x:v>
      </x:c>
      <x:c r="Q260" t="s">
        <x:v>27</x:v>
      </x:c>
      <x:c r="R260" t="n">
        <x:f>IF(subscriptions[[#This Row],[churned]]="Yes",1,0)</x:f>
        <x:v>0</x:v>
      </x:c>
      <x:c r="S260" s="11" t="str">
        <x:f>IF(K260="Yes",(L260-J260)/30.4375,"")</x:f>
      </x:c>
      <x:c r="T260" t="str">
        <x:f>IF(AND(K260="No",P260&lt;40,O260&lt;=4),"High Risk","")</x:f>
      </x:c>
    </x:row>
    <x:row r="261">
      <x:c r="A261" t="s">
        <x:v>318</x:v>
      </x:c>
      <x:c r="B261" t="s">
        <x:v>19</x:v>
      </x:c>
      <x:c r="C261" t="s">
        <x:v>20</x:v>
      </x:c>
      <x:c r="D261" t="s">
        <x:v>39</x:v>
      </x:c>
      <x:c r="E261" t="s">
        <x:v>35</x:v>
      </x:c>
      <x:c r="F261">
        <x:v>193</x:v>
      </x:c>
      <x:c r="G261">
        <x:v>2354.1999999999998</x:v>
      </x:c>
      <x:c r="H261" t="s">
        <x:v>23</x:v>
      </x:c>
      <x:c r="I261" t="s">
        <x:v>24</x:v>
      </x:c>
      <x:c r="J261" s="1">
        <x:v>45137</x:v>
      </x:c>
      <x:c r="K261" t="s">
        <x:v>25</x:v>
      </x:c>
      <x:c r="L261" s="1">
        <x:v>45693</x:v>
      </x:c>
      <x:c r="M261" t="s">
        <x:v>54</x:v>
      </x:c>
      <x:c r="N261">
        <x:v>3</x:v>
      </x:c>
      <x:c r="O261">
        <x:v>3</x:v>
      </x:c>
      <x:c r="P261">
        <x:v>39</x:v>
      </x:c>
      <x:c r="Q261" t="s">
        <x:v>27</x:v>
      </x:c>
      <x:c r="R261" t="n">
        <x:f>IF(subscriptions[[#This Row],[churned]]="Yes",1,0)</x:f>
        <x:v>1</x:v>
      </x:c>
      <x:c r="S261" s="11" t="n">
        <x:f>IF(K261="Yes",(L261-J261)/30.4375,"")</x:f>
        <x:v>18.26694045174538</x:v>
      </x:c>
      <x:c r="T261" t="str">
        <x:f>IF(AND(K261="No",P261&lt;40,O261&lt;=4),"High Risk","")</x:f>
      </x:c>
    </x:row>
    <x:row r="262">
      <x:c r="A262" t="s">
        <x:v>319</x:v>
      </x:c>
      <x:c r="B262" t="s">
        <x:v>19</x:v>
      </x:c>
      <x:c r="C262" t="s">
        <x:v>29</x:v>
      </x:c>
      <x:c r="D262" t="s">
        <x:v>72</x:v>
      </x:c>
      <x:c r="E262" t="s">
        <x:v>46</x:v>
      </x:c>
      <x:c r="F262">
        <x:v>5</x:v>
      </x:c>
      <x:c r="G262">
        <x:v>107.44</x:v>
      </x:c>
      <x:c r="H262" t="s">
        <x:v>23</x:v>
      </x:c>
      <x:c r="I262" t="s">
        <x:v>24</x:v>
      </x:c>
      <x:c r="J262" s="1">
        <x:v>45543</x:v>
      </x:c>
      <x:c r="K262" t="s">
        <x:v>27</x:v>
      </x:c>
      <x:c r="M262"/>
      <x:c r="N262">
        <x:v>1</x:v>
      </x:c>
      <x:c r="O262">
        <x:v>9</x:v>
      </x:c>
      <x:c r="P262">
        <x:v>95</x:v>
      </x:c>
      <x:c r="Q262" t="s">
        <x:v>27</x:v>
      </x:c>
      <x:c r="R262" t="n">
        <x:f>IF(subscriptions[[#This Row],[churned]]="Yes",1,0)</x:f>
        <x:v>0</x:v>
      </x:c>
      <x:c r="S262" s="11" t="str">
        <x:f>IF(K262="Yes",(L262-J262)/30.4375,"")</x:f>
      </x:c>
      <x:c r="T262" t="str">
        <x:f>IF(AND(K262="No",P262&lt;40,O262&lt;=4),"High Risk","")</x:f>
      </x:c>
    </x:row>
    <x:row r="263">
      <x:c r="A263" t="s">
        <x:v>320</x:v>
      </x:c>
      <x:c r="B263" t="s">
        <x:v>38</x:v>
      </x:c>
      <x:c r="C263" t="s">
        <x:v>20</x:v>
      </x:c>
      <x:c r="D263" t="s">
        <x:v>43</x:v>
      </x:c>
      <x:c r="E263" t="s">
        <x:v>46</x:v>
      </x:c>
      <x:c r="F263">
        <x:v>8</x:v>
      </x:c>
      <x:c r="G263">
        <x:v>407.95</x:v>
      </x:c>
      <x:c r="H263" t="s">
        <x:v>36</x:v>
      </x:c>
      <x:c r="I263" t="s">
        <x:v>24</x:v>
      </x:c>
      <x:c r="J263" s="1">
        <x:v>45327</x:v>
      </x:c>
      <x:c r="K263" t="s">
        <x:v>25</x:v>
      </x:c>
      <x:c r="L263" s="1">
        <x:v>45791</x:v>
      </x:c>
      <x:c r="M263" t="s">
        <x:v>57</x:v>
      </x:c>
      <x:c r="N263">
        <x:v>14</x:v>
      </x:c>
      <x:c r="O263">
        <x:v>6</x:v>
      </x:c>
      <x:c r="P263">
        <x:v>19</x:v>
      </x:c>
      <x:c r="Q263" t="s">
        <x:v>27</x:v>
      </x:c>
      <x:c r="R263" t="n">
        <x:f>IF(subscriptions[[#This Row],[churned]]="Yes",1,0)</x:f>
        <x:v>1</x:v>
      </x:c>
      <x:c r="S263" s="11" t="n">
        <x:f>IF(K263="Yes",(L263-J263)/30.4375,"")</x:f>
        <x:v>15.24435318275154</x:v>
      </x:c>
      <x:c r="T263" t="str">
        <x:f>IF(AND(K263="No",P263&lt;40,O263&lt;=4),"High Risk","")</x:f>
      </x:c>
    </x:row>
    <x:row r="264">
      <x:c r="A264" t="s">
        <x:v>321</x:v>
      </x:c>
      <x:c r="B264" t="s">
        <x:v>38</x:v>
      </x:c>
      <x:c r="C264" t="s">
        <x:v>29</x:v>
      </x:c>
      <x:c r="D264" t="s">
        <x:v>56</x:v>
      </x:c>
      <x:c r="E264" t="s">
        <x:v>40</x:v>
      </x:c>
      <x:c r="F264">
        <x:v>8</x:v>
      </x:c>
      <x:c r="G264">
        <x:v>346.76</x:v>
      </x:c>
      <x:c r="H264" t="s">
        <x:v>36</x:v>
      </x:c>
      <x:c r="I264" t="s">
        <x:v>41</x:v>
      </x:c>
      <x:c r="J264" s="1">
        <x:v>45877</x:v>
      </x:c>
      <x:c r="K264" t="s">
        <x:v>27</x:v>
      </x:c>
      <x:c r="M264"/>
      <x:c r="N264">
        <x:v>3</x:v>
      </x:c>
      <x:c r="O264">
        <x:v>6</x:v>
      </x:c>
      <x:c r="P264">
        <x:v>43</x:v>
      </x:c>
      <x:c r="Q264" t="s">
        <x:v>27</x:v>
      </x:c>
      <x:c r="R264" t="n">
        <x:f>IF(subscriptions[[#This Row],[churned]]="Yes",1,0)</x:f>
        <x:v>0</x:v>
      </x:c>
      <x:c r="S264" s="11" t="str">
        <x:f>IF(K264="Yes",(L264-J264)/30.4375,"")</x:f>
      </x:c>
      <x:c r="T264" t="str">
        <x:f>IF(AND(K264="No",P264&lt;40,O264&lt;=4),"High Risk","")</x:f>
      </x:c>
    </x:row>
    <x:row r="265">
      <x:c r="A265" t="s">
        <x:v>322</x:v>
      </x:c>
      <x:c r="B265" t="s">
        <x:v>33</x:v>
      </x:c>
      <x:c r="C265" t="s">
        <x:v>20</x:v>
      </x:c>
      <x:c r="D265" t="s">
        <x:v>53</x:v>
      </x:c>
      <x:c r="E265" t="s">
        <x:v>22</x:v>
      </x:c>
      <x:c r="F265">
        <x:v>52</x:v>
      </x:c>
      <x:c r="G265">
        <x:v>250.85</x:v>
      </x:c>
      <x:c r="H265" t="s">
        <x:v>23</x:v>
      </x:c>
      <x:c r="I265" t="s">
        <x:v>24</x:v>
      </x:c>
      <x:c r="J265" s="1">
        <x:v>45702</x:v>
      </x:c>
      <x:c r="K265" t="s">
        <x:v>27</x:v>
      </x:c>
      <x:c r="M265"/>
      <x:c r="N265">
        <x:v>2</x:v>
      </x:c>
      <x:c r="O265">
        <x:v>7</x:v>
      </x:c>
      <x:c r="P265">
        <x:v>42</x:v>
      </x:c>
      <x:c r="Q265" t="s">
        <x:v>27</x:v>
      </x:c>
      <x:c r="R265" t="n">
        <x:f>IF(subscriptions[[#This Row],[churned]]="Yes",1,0)</x:f>
        <x:v>0</x:v>
      </x:c>
      <x:c r="S265" s="11" t="str">
        <x:f>IF(K265="Yes",(L265-J265)/30.4375,"")</x:f>
      </x:c>
      <x:c r="T265" t="str">
        <x:f>IF(AND(K265="No",P265&lt;40,O265&lt;=4),"High Risk","")</x:f>
      </x:c>
    </x:row>
    <x:row r="266">
      <x:c r="A266" t="s">
        <x:v>323</x:v>
      </x:c>
      <x:c r="B266" t="s">
        <x:v>19</x:v>
      </x:c>
      <x:c r="C266" t="s">
        <x:v>20</x:v>
      </x:c>
      <x:c r="D266" t="s">
        <x:v>43</x:v>
      </x:c>
      <x:c r="E266" t="s">
        <x:v>22</x:v>
      </x:c>
      <x:c r="F266">
        <x:v>45</x:v>
      </x:c>
      <x:c r="G266">
        <x:v>600.4</x:v>
      </x:c>
      <x:c r="H266" t="s">
        <x:v>64</x:v>
      </x:c>
      <x:c r="I266" t="s">
        <x:v>24</x:v>
      </x:c>
      <x:c r="J266" s="1">
        <x:v>45738</x:v>
      </x:c>
      <x:c r="K266" t="s">
        <x:v>27</x:v>
      </x:c>
      <x:c r="M266"/>
      <x:c r="N266">
        <x:v>11</x:v>
      </x:c>
      <x:c r="O266">
        <x:v>1</x:v>
      </x:c>
      <x:c r="P266">
        <x:v>56</x:v>
      </x:c>
      <x:c r="Q266" t="s">
        <x:v>27</x:v>
      </x:c>
      <x:c r="R266" t="n">
        <x:f>IF(subscriptions[[#This Row],[churned]]="Yes",1,0)</x:f>
        <x:v>0</x:v>
      </x:c>
      <x:c r="S266" s="11" t="str">
        <x:f>IF(K266="Yes",(L266-J266)/30.4375,"")</x:f>
      </x:c>
      <x:c r="T266" t="str">
        <x:f>IF(AND(K266="No",P266&lt;40,O266&lt;=4),"High Risk","")</x:f>
      </x:c>
    </x:row>
    <x:row r="267">
      <x:c r="A267" t="s">
        <x:v>324</x:v>
      </x:c>
      <x:c r="B267" t="s">
        <x:v>33</x:v>
      </x:c>
      <x:c r="C267" t="s">
        <x:v>29</x:v>
      </x:c>
      <x:c r="D267" t="s">
        <x:v>21</x:v>
      </x:c>
      <x:c r="E267" t="s">
        <x:v>40</x:v>
      </x:c>
      <x:c r="F267">
        <x:v>22</x:v>
      </x:c>
      <x:c r="G267">
        <x:v>102.3</x:v>
      </x:c>
      <x:c r="H267" t="s">
        <x:v>47</x:v>
      </x:c>
      <x:c r="I267" t="s">
        <x:v>24</x:v>
      </x:c>
      <x:c r="J267" s="1">
        <x:v>44665</x:v>
      </x:c>
      <x:c r="K267" t="s">
        <x:v>25</x:v>
      </x:c>
      <x:c r="L267" s="1">
        <x:v>44750</x:v>
      </x:c>
      <x:c r="M267" t="s">
        <x:v>57</x:v>
      </x:c>
      <x:c r="N267">
        <x:v>5</x:v>
      </x:c>
      <x:c r="O267">
        <x:v>4</x:v>
      </x:c>
      <x:c r="P267">
        <x:v>20</x:v>
      </x:c>
      <x:c r="Q267" t="s">
        <x:v>27</x:v>
      </x:c>
      <x:c r="R267" t="n">
        <x:f>IF(subscriptions[[#This Row],[churned]]="Yes",1,0)</x:f>
        <x:v>1</x:v>
      </x:c>
      <x:c r="S267" s="11" t="n">
        <x:f>IF(K267="Yes",(L267-J267)/30.4375,"")</x:f>
        <x:v>2.7926078028747434</x:v>
      </x:c>
      <x:c r="T267" t="str">
        <x:f>IF(AND(K267="No",P267&lt;40,O267&lt;=4),"High Risk","")</x:f>
      </x:c>
    </x:row>
    <x:row r="268">
      <x:c r="A268" t="s">
        <x:v>325</x:v>
      </x:c>
      <x:c r="B268" t="s">
        <x:v>75</x:v>
      </x:c>
      <x:c r="C268" t="s">
        <x:v>20</x:v>
      </x:c>
      <x:c r="D268" t="s">
        <x:v>83</x:v>
      </x:c>
      <x:c r="E268" t="s">
        <x:v>46</x:v>
      </x:c>
      <x:c r="F268">
        <x:v>3</x:v>
      </x:c>
      <x:c r="G268">
        <x:v>648.70000000000005</x:v>
      </x:c>
      <x:c r="H268" t="s">
        <x:v>64</x:v>
      </x:c>
      <x:c r="I268" t="s">
        <x:v>59</x:v>
      </x:c>
      <x:c r="J268" s="1">
        <x:v>45053</x:v>
      </x:c>
      <x:c r="K268" t="s">
        <x:v>27</x:v>
      </x:c>
      <x:c r="M268"/>
      <x:c r="N268">
        <x:v>3</x:v>
      </x:c>
      <x:c r="O268">
        <x:v>1</x:v>
      </x:c>
      <x:c r="P268">
        <x:v>41</x:v>
      </x:c>
      <x:c r="Q268" t="s">
        <x:v>27</x:v>
      </x:c>
      <x:c r="R268" t="n">
        <x:f>IF(subscriptions[[#This Row],[churned]]="Yes",1,0)</x:f>
        <x:v>0</x:v>
      </x:c>
      <x:c r="S268" s="11" t="str">
        <x:f>IF(K268="Yes",(L268-J268)/30.4375,"")</x:f>
      </x:c>
      <x:c r="T268" t="str">
        <x:f>IF(AND(K268="No",P268&lt;40,O268&lt;=4),"High Risk","")</x:f>
      </x:c>
    </x:row>
    <x:row r="269">
      <x:c r="A269" t="s">
        <x:v>326</x:v>
      </x:c>
      <x:c r="B269" t="s">
        <x:v>19</x:v>
      </x:c>
      <x:c r="C269" t="s">
        <x:v>29</x:v>
      </x:c>
      <x:c r="D269" t="s">
        <x:v>21</x:v>
      </x:c>
      <x:c r="E269" t="s">
        <x:v>49</x:v>
      </x:c>
      <x:c r="F269">
        <x:v>49</x:v>
      </x:c>
      <x:c r="G269">
        <x:v>550.63</x:v>
      </x:c>
      <x:c r="H269" t="s">
        <x:v>23</x:v>
      </x:c>
      <x:c r="I269" t="s">
        <x:v>24</x:v>
      </x:c>
      <x:c r="J269" s="1">
        <x:v>44830</x:v>
      </x:c>
      <x:c r="K269" t="s">
        <x:v>27</x:v>
      </x:c>
      <x:c r="M269"/>
      <x:c r="N269">
        <x:v>12</x:v>
      </x:c>
      <x:c r="O269">
        <x:v>7</x:v>
      </x:c>
      <x:c r="P269">
        <x:v>46</x:v>
      </x:c>
      <x:c r="Q269" t="s">
        <x:v>27</x:v>
      </x:c>
      <x:c r="R269" t="n">
        <x:f>IF(subscriptions[[#This Row],[churned]]="Yes",1,0)</x:f>
        <x:v>0</x:v>
      </x:c>
      <x:c r="S269" s="11" t="str">
        <x:f>IF(K269="Yes",(L269-J269)/30.4375,"")</x:f>
      </x:c>
      <x:c r="T269" t="str">
        <x:f>IF(AND(K269="No",P269&lt;40,O269&lt;=4),"High Risk","")</x:f>
      </x:c>
    </x:row>
    <x:row r="270">
      <x:c r="A270" t="s">
        <x:v>327</x:v>
      </x:c>
      <x:c r="B270" t="s">
        <x:v>19</x:v>
      </x:c>
      <x:c r="C270" t="s">
        <x:v>20</x:v>
      </x:c>
      <x:c r="D270" t="s">
        <x:v>83</x:v>
      </x:c>
      <x:c r="E270" t="s">
        <x:v>46</x:v>
      </x:c>
      <x:c r="F270">
        <x:v>3</x:v>
      </x:c>
      <x:c r="G270">
        <x:v>102.7</x:v>
      </x:c>
      <x:c r="H270" t="s">
        <x:v>102</x:v>
      </x:c>
      <x:c r="I270" t="s">
        <x:v>59</x:v>
      </x:c>
      <x:c r="J270" s="1">
        <x:v>45750</x:v>
      </x:c>
      <x:c r="K270" t="s">
        <x:v>25</x:v>
      </x:c>
      <x:c r="L270" s="1">
        <x:v>46002</x:v>
      </x:c>
      <x:c r="M270" t="s">
        <x:v>67</x:v>
      </x:c>
      <x:c r="N270">
        <x:v>3</x:v>
      </x:c>
      <x:c r="O270">
        <x:v>2</x:v>
      </x:c>
      <x:c r="P270">
        <x:v>20</x:v>
      </x:c>
      <x:c r="Q270" t="s">
        <x:v>27</x:v>
      </x:c>
      <x:c r="R270" t="n">
        <x:f>IF(subscriptions[[#This Row],[churned]]="Yes",1,0)</x:f>
        <x:v>1</x:v>
      </x:c>
      <x:c r="S270" s="11" t="n">
        <x:f>IF(K270="Yes",(L270-J270)/30.4375,"")</x:f>
        <x:v>8.279260780287474</x:v>
      </x:c>
      <x:c r="T270" t="str">
        <x:f>IF(AND(K270="No",P270&lt;40,O270&lt;=4),"High Risk","")</x:f>
      </x:c>
    </x:row>
    <x:row r="271">
      <x:c r="A271" t="s">
        <x:v>328</x:v>
      </x:c>
      <x:c r="B271" t="s">
        <x:v>19</x:v>
      </x:c>
      <x:c r="C271" t="s">
        <x:v>20</x:v>
      </x:c>
      <x:c r="D271" t="s">
        <x:v>53</x:v>
      </x:c>
      <x:c r="E271" t="s">
        <x:v>22</x:v>
      </x:c>
      <x:c r="F271">
        <x:v>66</x:v>
      </x:c>
      <x:c r="G271">
        <x:v>849.25</x:v>
      </x:c>
      <x:c r="H271" t="s">
        <x:v>47</x:v>
      </x:c>
      <x:c r="I271" t="s">
        <x:v>24</x:v>
      </x:c>
      <x:c r="J271" s="1">
        <x:v>44982</x:v>
      </x:c>
      <x:c r="K271" t="s">
        <x:v>25</x:v>
      </x:c>
      <x:c r="L271" s="1">
        <x:v>45872</x:v>
      </x:c>
      <x:c r="M271" t="s">
        <x:v>26</x:v>
      </x:c>
      <x:c r="N271">
        <x:v>6</x:v>
      </x:c>
      <x:c r="O271">
        <x:v>2</x:v>
      </x:c>
      <x:c r="P271">
        <x:v>37</x:v>
      </x:c>
      <x:c r="Q271" t="s">
        <x:v>27</x:v>
      </x:c>
      <x:c r="R271" t="n">
        <x:f>IF(subscriptions[[#This Row],[churned]]="Yes",1,0)</x:f>
        <x:v>1</x:v>
      </x:c>
      <x:c r="S271" s="11" t="n">
        <x:f>IF(K271="Yes",(L271-J271)/30.4375,"")</x:f>
        <x:v>29.240246406570844</x:v>
      </x:c>
      <x:c r="T271" t="str">
        <x:f>IF(AND(K271="No",P271&lt;40,O271&lt;=4),"High Risk","")</x:f>
      </x:c>
    </x:row>
    <x:row r="272">
      <x:c r="A272" t="s">
        <x:v>329</x:v>
      </x:c>
      <x:c r="B272" t="s">
        <x:v>19</x:v>
      </x:c>
      <x:c r="C272" t="s">
        <x:v>20</x:v>
      </x:c>
      <x:c r="D272" t="s">
        <x:v>45</x:v>
      </x:c>
      <x:c r="E272" t="s">
        <x:v>40</x:v>
      </x:c>
      <x:c r="F272">
        <x:v>13</x:v>
      </x:c>
      <x:c r="G272">
        <x:v>221.2</x:v>
      </x:c>
      <x:c r="H272" t="s">
        <x:v>23</x:v>
      </x:c>
      <x:c r="I272" t="s">
        <x:v>24</x:v>
      </x:c>
      <x:c r="J272" s="1">
        <x:v>45712</x:v>
      </x:c>
      <x:c r="K272" t="s">
        <x:v>25</x:v>
      </x:c>
      <x:c r="L272" s="1">
        <x:v>45721</x:v>
      </x:c>
      <x:c r="M272" t="s">
        <x:v>60</x:v>
      </x:c>
      <x:c r="N272">
        <x:v>6</x:v>
      </x:c>
      <x:c r="O272">
        <x:v>4</x:v>
      </x:c>
      <x:c r="P272">
        <x:v>19</x:v>
      </x:c>
      <x:c r="Q272" t="s">
        <x:v>27</x:v>
      </x:c>
      <x:c r="R272" t="n">
        <x:f>IF(subscriptions[[#This Row],[churned]]="Yes",1,0)</x:f>
        <x:v>1</x:v>
      </x:c>
      <x:c r="S272" s="11" t="n">
        <x:f>IF(K272="Yes",(L272-J272)/30.4375,"")</x:f>
        <x:v>0.29568788501026694</x:v>
      </x:c>
      <x:c r="T272" t="str">
        <x:f>IF(AND(K272="No",P272&lt;40,O272&lt;=4),"High Risk","")</x:f>
      </x:c>
    </x:row>
    <x:row r="273">
      <x:c r="A273" t="s">
        <x:v>330</x:v>
      </x:c>
      <x:c r="B273" t="s">
        <x:v>33</x:v>
      </x:c>
      <x:c r="C273" t="s">
        <x:v>20</x:v>
      </x:c>
      <x:c r="D273" t="s">
        <x:v>72</x:v>
      </x:c>
      <x:c r="E273" t="s">
        <x:v>49</x:v>
      </x:c>
      <x:c r="F273">
        <x:v>103</x:v>
      </x:c>
      <x:c r="G273">
        <x:v>472.7</x:v>
      </x:c>
      <x:c r="H273" t="s">
        <x:v>36</x:v>
      </x:c>
      <x:c r="I273" t="s">
        <x:v>41</x:v>
      </x:c>
      <x:c r="J273" s="1">
        <x:v>45343</x:v>
      </x:c>
      <x:c r="K273" t="s">
        <x:v>25</x:v>
      </x:c>
      <x:c r="L273" s="1">
        <x:v>45439</x:v>
      </x:c>
      <x:c r="M273" t="s">
        <x:v>57</x:v>
      </x:c>
      <x:c r="N273">
        <x:v>11</x:v>
      </x:c>
      <x:c r="O273">
        <x:v>1</x:v>
      </x:c>
      <x:c r="P273">
        <x:v>14</x:v>
      </x:c>
      <x:c r="Q273" t="s">
        <x:v>27</x:v>
      </x:c>
      <x:c r="R273" t="n">
        <x:f>IF(subscriptions[[#This Row],[churned]]="Yes",1,0)</x:f>
        <x:v>1</x:v>
      </x:c>
      <x:c r="S273" s="11" t="n">
        <x:f>IF(K273="Yes",(L273-J273)/30.4375,"")</x:f>
        <x:v>3.154004106776181</x:v>
      </x:c>
      <x:c r="T273" t="str">
        <x:f>IF(AND(K273="No",P273&lt;40,O273&lt;=4),"High Risk","")</x:f>
      </x:c>
    </x:row>
    <x:row r="274">
      <x:c r="A274" t="s">
        <x:v>331</x:v>
      </x:c>
      <x:c r="B274" t="s">
        <x:v>19</x:v>
      </x:c>
      <x:c r="C274" t="s">
        <x:v>29</x:v>
      </x:c>
      <x:c r="D274" t="s">
        <x:v>43</x:v>
      </x:c>
      <x:c r="E274" t="s">
        <x:v>46</x:v>
      </x:c>
      <x:c r="F274">
        <x:v>6</x:v>
      </x:c>
      <x:c r="G274">
        <x:v>117.51</x:v>
      </x:c>
      <x:c r="H274" t="s">
        <x:v>23</x:v>
      </x:c>
      <x:c r="I274" t="s">
        <x:v>73</x:v>
      </x:c>
      <x:c r="J274" s="1">
        <x:v>46022</x:v>
      </x:c>
      <x:c r="K274" t="s">
        <x:v>27</x:v>
      </x:c>
      <x:c r="M274"/>
      <x:c r="N274">
        <x:v>2</x:v>
      </x:c>
      <x:c r="O274">
        <x:v>9</x:v>
      </x:c>
      <x:c r="P274">
        <x:v>20</x:v>
      </x:c>
      <x:c r="Q274" t="s">
        <x:v>27</x:v>
      </x:c>
      <x:c r="R274" t="n">
        <x:f>IF(subscriptions[[#This Row],[churned]]="Yes",1,0)</x:f>
        <x:v>0</x:v>
      </x:c>
      <x:c r="S274" s="11" t="str">
        <x:f>IF(K274="Yes",(L274-J274)/30.4375,"")</x:f>
      </x:c>
      <x:c r="T274" t="str">
        <x:f>IF(AND(K274="No",P274&lt;40,O274&lt;=4),"High Risk","")</x:f>
      </x:c>
    </x:row>
    <x:row r="275">
      <x:c r="A275" t="s">
        <x:v>332</x:v>
      </x:c>
      <x:c r="B275" t="s">
        <x:v>19</x:v>
      </x:c>
      <x:c r="C275" t="s">
        <x:v>29</x:v>
      </x:c>
      <x:c r="D275" t="s">
        <x:v>34</x:v>
      </x:c>
      <x:c r="E275" t="s">
        <x:v>22</x:v>
      </x:c>
      <x:c r="F275">
        <x:v>41</x:v>
      </x:c>
      <x:c r="G275">
        <x:v>470.05</x:v>
      </x:c>
      <x:c r="H275" t="s">
        <x:v>36</x:v>
      </x:c>
      <x:c r="I275" t="s">
        <x:v>41</x:v>
      </x:c>
      <x:c r="J275" s="1">
        <x:v>45882</x:v>
      </x:c>
      <x:c r="K275" t="s">
        <x:v>27</x:v>
      </x:c>
      <x:c r="M275"/>
      <x:c r="N275">
        <x:v>2</x:v>
      </x:c>
      <x:c r="O275">
        <x:v>8</x:v>
      </x:c>
      <x:c r="P275">
        <x:v>37</x:v>
      </x:c>
      <x:c r="Q275" t="s">
        <x:v>27</x:v>
      </x:c>
      <x:c r="R275" t="n">
        <x:f>IF(subscriptions[[#This Row],[churned]]="Yes",1,0)</x:f>
        <x:v>0</x:v>
      </x:c>
      <x:c r="S275" s="11" t="str">
        <x:f>IF(K275="Yes",(L275-J275)/30.4375,"")</x:f>
      </x:c>
      <x:c r="T275" t="str">
        <x:f>IF(AND(K275="No",P275&lt;40,O275&lt;=4),"High Risk","")</x:f>
      </x:c>
    </x:row>
    <x:row r="276">
      <x:c r="A276" t="s">
        <x:v>333</x:v>
      </x:c>
      <x:c r="B276" t="s">
        <x:v>38</x:v>
      </x:c>
      <x:c r="C276" t="s">
        <x:v>20</x:v>
      </x:c>
      <x:c r="D276" t="s">
        <x:v>66</x:v>
      </x:c>
      <x:c r="E276" t="s">
        <x:v>46</x:v>
      </x:c>
      <x:c r="F276">
        <x:v>6</x:v>
      </x:c>
      <x:c r="G276">
        <x:v>348.25</x:v>
      </x:c>
      <x:c r="H276" t="s">
        <x:v>23</x:v>
      </x:c>
      <x:c r="I276" t="s">
        <x:v>73</x:v>
      </x:c>
      <x:c r="J276" s="1">
        <x:v>45566</x:v>
      </x:c>
      <x:c r="K276" t="s">
        <x:v>27</x:v>
      </x:c>
      <x:c r="M276"/>
      <x:c r="N276">
        <x:v>7</x:v>
      </x:c>
      <x:c r="O276">
        <x:v>7</x:v>
      </x:c>
      <x:c r="P276">
        <x:v>30</x:v>
      </x:c>
      <x:c r="Q276" t="s">
        <x:v>27</x:v>
      </x:c>
      <x:c r="R276" t="n">
        <x:f>IF(subscriptions[[#This Row],[churned]]="Yes",1,0)</x:f>
        <x:v>0</x:v>
      </x:c>
      <x:c r="S276" s="11" t="str">
        <x:f>IF(K276="Yes",(L276-J276)/30.4375,"")</x:f>
      </x:c>
      <x:c r="T276" t="str">
        <x:f>IF(AND(K276="No",P276&lt;40,O276&lt;=4),"High Risk","")</x:f>
      </x:c>
    </x:row>
    <x:row r="277">
      <x:c r="A277" t="s">
        <x:v>334</x:v>
      </x:c>
      <x:c r="B277" t="s">
        <x:v>33</x:v>
      </x:c>
      <x:c r="C277" t="s">
        <x:v>20</x:v>
      </x:c>
      <x:c r="D277" t="s">
        <x:v>72</x:v>
      </x:c>
      <x:c r="E277" t="s">
        <x:v>49</x:v>
      </x:c>
      <x:c r="F277">
        <x:v>50</x:v>
      </x:c>
      <x:c r="G277">
        <x:v>242.15</x:v>
      </x:c>
      <x:c r="H277" t="s">
        <x:v>47</x:v>
      </x:c>
      <x:c r="I277" t="s">
        <x:v>59</x:v>
      </x:c>
      <x:c r="J277" s="1">
        <x:v>45319</x:v>
      </x:c>
      <x:c r="K277" t="s">
        <x:v>27</x:v>
      </x:c>
      <x:c r="M277"/>
      <x:c r="N277">
        <x:v>0</x:v>
      </x:c>
      <x:c r="O277">
        <x:v>3</x:v>
      </x:c>
      <x:c r="P277">
        <x:v>40</x:v>
      </x:c>
      <x:c r="Q277" t="s">
        <x:v>25</x:v>
      </x:c>
      <x:c r="R277" t="n">
        <x:f>IF(subscriptions[[#This Row],[churned]]="Yes",1,0)</x:f>
        <x:v>0</x:v>
      </x:c>
      <x:c r="S277" s="11" t="str">
        <x:f>IF(K277="Yes",(L277-J277)/30.4375,"")</x:f>
      </x:c>
      <x:c r="T277" t="str">
        <x:f>IF(AND(K277="No",P277&lt;40,O277&lt;=4),"High Risk","")</x:f>
      </x:c>
    </x:row>
    <x:row r="278">
      <x:c r="A278" t="s">
        <x:v>335</x:v>
      </x:c>
      <x:c r="B278" t="s">
        <x:v>75</x:v>
      </x:c>
      <x:c r="C278" t="s">
        <x:v>20</x:v>
      </x:c>
      <x:c r="D278" t="s">
        <x:v>66</x:v>
      </x:c>
      <x:c r="E278" t="s">
        <x:v>40</x:v>
      </x:c>
      <x:c r="F278">
        <x:v>31</x:v>
      </x:c>
      <x:c r="G278">
        <x:v>2744.5</x:v>
      </x:c>
      <x:c r="H278" t="s">
        <x:v>47</x:v>
      </x:c>
      <x:c r="I278" t="s">
        <x:v>41</x:v>
      </x:c>
      <x:c r="J278" s="1">
        <x:v>44959</x:v>
      </x:c>
      <x:c r="K278" t="s">
        <x:v>25</x:v>
      </x:c>
      <x:c r="L278" s="1">
        <x:v>45053</x:v>
      </x:c>
      <x:c r="M278" t="s">
        <x:v>54</x:v>
      </x:c>
      <x:c r="N278">
        <x:v>3</x:v>
      </x:c>
      <x:c r="O278">
        <x:v>1</x:v>
      </x:c>
      <x:c r="P278">
        <x:v>12</x:v>
      </x:c>
      <x:c r="Q278" t="s">
        <x:v>27</x:v>
      </x:c>
      <x:c r="R278" t="n">
        <x:f>IF(subscriptions[[#This Row],[churned]]="Yes",1,0)</x:f>
        <x:v>1</x:v>
      </x:c>
      <x:c r="S278" s="11" t="n">
        <x:f>IF(K278="Yes",(L278-J278)/30.4375,"")</x:f>
        <x:v>3.0882956878850103</x:v>
      </x:c>
      <x:c r="T278" t="str">
        <x:f>IF(AND(K278="No",P278&lt;40,O278&lt;=4),"High Risk","")</x:f>
      </x:c>
    </x:row>
    <x:row r="279">
      <x:c r="A279" t="s">
        <x:v>336</x:v>
      </x:c>
      <x:c r="B279" t="s">
        <x:v>38</x:v>
      </x:c>
      <x:c r="C279" t="s">
        <x:v>20</x:v>
      </x:c>
      <x:c r="D279" t="s">
        <x:v>34</x:v>
      </x:c>
      <x:c r="E279" t="s">
        <x:v>22</x:v>
      </x:c>
      <x:c r="F279">
        <x:v>48</x:v>
      </x:c>
      <x:c r="G279">
        <x:v>1601.95</x:v>
      </x:c>
      <x:c r="H279" t="s">
        <x:v>23</x:v>
      </x:c>
      <x:c r="I279" t="s">
        <x:v>41</x:v>
      </x:c>
      <x:c r="J279" s="1">
        <x:v>45947</x:v>
      </x:c>
      <x:c r="K279" t="s">
        <x:v>27</x:v>
      </x:c>
      <x:c r="M279"/>
      <x:c r="N279">
        <x:v>7</x:v>
      </x:c>
      <x:c r="O279">
        <x:v>4</x:v>
      </x:c>
      <x:c r="P279">
        <x:v>52</x:v>
      </x:c>
      <x:c r="Q279" t="s">
        <x:v>27</x:v>
      </x:c>
      <x:c r="R279" t="n">
        <x:f>IF(subscriptions[[#This Row],[churned]]="Yes",1,0)</x:f>
        <x:v>0</x:v>
      </x:c>
      <x:c r="S279" s="11" t="str">
        <x:f>IF(K279="Yes",(L279-J279)/30.4375,"")</x:f>
      </x:c>
      <x:c r="T279" t="str">
        <x:f>IF(AND(K279="No",P279&lt;40,O279&lt;=4),"High Risk","")</x:f>
      </x:c>
    </x:row>
    <x:row r="280">
      <x:c r="A280" t="s">
        <x:v>337</x:v>
      </x:c>
      <x:c r="B280" t="s">
        <x:v>33</x:v>
      </x:c>
      <x:c r="C280" t="s">
        <x:v>20</x:v>
      </x:c>
      <x:c r="D280" t="s">
        <x:v>34</x:v>
      </x:c>
      <x:c r="E280" t="s">
        <x:v>46</x:v>
      </x:c>
      <x:c r="F280">
        <x:v>7</x:v>
      </x:c>
      <x:c r="G280">
        <x:v>55.1</x:v>
      </x:c>
      <x:c r="H280" t="s">
        <x:v>23</x:v>
      </x:c>
      <x:c r="I280" t="s">
        <x:v>24</x:v>
      </x:c>
      <x:c r="J280" s="1">
        <x:v>45909</x:v>
      </x:c>
      <x:c r="K280" t="s">
        <x:v>27</x:v>
      </x:c>
      <x:c r="M280"/>
      <x:c r="N280">
        <x:v>4</x:v>
      </x:c>
      <x:c r="O280">
        <x:v>3</x:v>
      </x:c>
      <x:c r="P280">
        <x:v>93</x:v>
      </x:c>
      <x:c r="Q280" t="s">
        <x:v>27</x:v>
      </x:c>
      <x:c r="R280" t="n">
        <x:f>IF(subscriptions[[#This Row],[churned]]="Yes",1,0)</x:f>
        <x:v>0</x:v>
      </x:c>
      <x:c r="S280" s="11" t="str">
        <x:f>IF(K280="Yes",(L280-J280)/30.4375,"")</x:f>
      </x:c>
      <x:c r="T280" t="str">
        <x:f>IF(AND(K280="No",P280&lt;40,O280&lt;=4),"High Risk","")</x:f>
      </x:c>
    </x:row>
    <x:row r="281">
      <x:c r="A281" t="s">
        <x:v>338</x:v>
      </x:c>
      <x:c r="B281" t="s">
        <x:v>33</x:v>
      </x:c>
      <x:c r="C281" t="s">
        <x:v>20</x:v>
      </x:c>
      <x:c r="D281" t="s">
        <x:v>56</x:v>
      </x:c>
      <x:c r="E281" t="s">
        <x:v>46</x:v>
      </x:c>
      <x:c r="F281">
        <x:v>3</x:v>
      </x:c>
      <x:c r="G281">
        <x:v>37.700000000000003</x:v>
      </x:c>
      <x:c r="H281" t="s">
        <x:v>30</x:v>
      </x:c>
      <x:c r="I281" t="s">
        <x:v>41</x:v>
      </x:c>
      <x:c r="J281" s="1">
        <x:v>45778</x:v>
      </x:c>
      <x:c r="K281" t="s">
        <x:v>27</x:v>
      </x:c>
      <x:c r="M281"/>
      <x:c r="N281">
        <x:v>2</x:v>
      </x:c>
      <x:c r="O281">
        <x:v>6</x:v>
      </x:c>
      <x:c r="P281">
        <x:v>66</x:v>
      </x:c>
      <x:c r="Q281" t="s">
        <x:v>27</x:v>
      </x:c>
      <x:c r="R281" t="n">
        <x:f>IF(subscriptions[[#This Row],[churned]]="Yes",1,0)</x:f>
        <x:v>0</x:v>
      </x:c>
      <x:c r="S281" s="11" t="str">
        <x:f>IF(K281="Yes",(L281-J281)/30.4375,"")</x:f>
      </x:c>
      <x:c r="T281" t="str">
        <x:f>IF(AND(K281="No",P281&lt;40,O281&lt;=4),"High Risk","")</x:f>
      </x:c>
    </x:row>
    <x:row r="282">
      <x:c r="A282" t="s">
        <x:v>339</x:v>
      </x:c>
      <x:c r="B282" t="s">
        <x:v>38</x:v>
      </x:c>
      <x:c r="C282" t="s">
        <x:v>29</x:v>
      </x:c>
      <x:c r="D282" t="s">
        <x:v>72</x:v>
      </x:c>
      <x:c r="E282" t="s">
        <x:v>40</x:v>
      </x:c>
      <x:c r="F282">
        <x:v>25</x:v>
      </x:c>
      <x:c r="G282">
        <x:v>778.09</x:v>
      </x:c>
      <x:c r="H282" t="s">
        <x:v>36</x:v>
      </x:c>
      <x:c r="I282" t="s">
        <x:v>24</x:v>
      </x:c>
      <x:c r="J282" s="1">
        <x:v>45819</x:v>
      </x:c>
      <x:c r="K282" t="s">
        <x:v>27</x:v>
      </x:c>
      <x:c r="M282"/>
      <x:c r="N282">
        <x:v>4</x:v>
      </x:c>
      <x:c r="O282">
        <x:v>3</x:v>
      </x:c>
      <x:c r="P282">
        <x:v>90</x:v>
      </x:c>
      <x:c r="Q282" t="s">
        <x:v>27</x:v>
      </x:c>
      <x:c r="R282" t="n">
        <x:f>IF(subscriptions[[#This Row],[churned]]="Yes",1,0)</x:f>
        <x:v>0</x:v>
      </x:c>
      <x:c r="S282" s="11" t="str">
        <x:f>IF(K282="Yes",(L282-J282)/30.4375,"")</x:f>
      </x:c>
      <x:c r="T282" t="str">
        <x:f>IF(AND(K282="No",P282&lt;40,O282&lt;=4),"High Risk","")</x:f>
      </x:c>
    </x:row>
    <x:row r="283">
      <x:c r="A283" t="s">
        <x:v>340</x:v>
      </x:c>
      <x:c r="B283" t="s">
        <x:v>19</x:v>
      </x:c>
      <x:c r="C283" t="s">
        <x:v>20</x:v>
      </x:c>
      <x:c r="D283" t="s">
        <x:v>34</x:v>
      </x:c>
      <x:c r="E283" t="s">
        <x:v>40</x:v>
      </x:c>
      <x:c r="F283">
        <x:v>15</x:v>
      </x:c>
      <x:c r="G283">
        <x:v>244.9</x:v>
      </x:c>
      <x:c r="H283" t="s">
        <x:v>36</x:v>
      </x:c>
      <x:c r="I283" t="s">
        <x:v>24</x:v>
      </x:c>
      <x:c r="J283" s="1">
        <x:v>45780</x:v>
      </x:c>
      <x:c r="K283" t="s">
        <x:v>27</x:v>
      </x:c>
      <x:c r="M283"/>
      <x:c r="N283">
        <x:v>1</x:v>
      </x:c>
      <x:c r="O283">
        <x:v>6</x:v>
      </x:c>
      <x:c r="P283">
        <x:v>86</x:v>
      </x:c>
      <x:c r="Q283" t="s">
        <x:v>25</x:v>
      </x:c>
      <x:c r="R283" t="n">
        <x:f>IF(subscriptions[[#This Row],[churned]]="Yes",1,0)</x:f>
        <x:v>0</x:v>
      </x:c>
      <x:c r="S283" s="11" t="str">
        <x:f>IF(K283="Yes",(L283-J283)/30.4375,"")</x:f>
      </x:c>
      <x:c r="T283" t="str">
        <x:f>IF(AND(K283="No",P283&lt;40,O283&lt;=4),"High Risk","")</x:f>
      </x:c>
    </x:row>
    <x:row r="284">
      <x:c r="A284" t="s">
        <x:v>341</x:v>
      </x:c>
      <x:c r="B284" t="s">
        <x:v>19</x:v>
      </x:c>
      <x:c r="C284" t="s">
        <x:v>20</x:v>
      </x:c>
      <x:c r="D284" t="s">
        <x:v>43</x:v>
      </x:c>
      <x:c r="E284" t="s">
        <x:v>22</x:v>
      </x:c>
      <x:c r="F284">
        <x:v>18</x:v>
      </x:c>
      <x:c r="G284">
        <x:v>280.45</x:v>
      </x:c>
      <x:c r="H284" t="s">
        <x:v>64</x:v>
      </x:c>
      <x:c r="I284" t="s">
        <x:v>24</x:v>
      </x:c>
      <x:c r="J284" s="1">
        <x:v>44887</x:v>
      </x:c>
      <x:c r="K284" t="s">
        <x:v>25</x:v>
      </x:c>
      <x:c r="L284" s="1">
        <x:v>45925</x:v>
      </x:c>
      <x:c r="M284" t="s">
        <x:v>54</x:v>
      </x:c>
      <x:c r="N284">
        <x:v>6</x:v>
      </x:c>
      <x:c r="O284">
        <x:v>2</x:v>
      </x:c>
      <x:c r="P284">
        <x:v>11</x:v>
      </x:c>
      <x:c r="Q284" t="s">
        <x:v>27</x:v>
      </x:c>
      <x:c r="R284" t="n">
        <x:f>IF(subscriptions[[#This Row],[churned]]="Yes",1,0)</x:f>
        <x:v>1</x:v>
      </x:c>
      <x:c r="S284" s="11" t="n">
        <x:f>IF(K284="Yes",(L284-J284)/30.4375,"")</x:f>
        <x:v>34.10266940451746</x:v>
      </x:c>
      <x:c r="T284" t="str">
        <x:f>IF(AND(K284="No",P284&lt;40,O284&lt;=4),"High Risk","")</x:f>
      </x:c>
    </x:row>
    <x:row r="285">
      <x:c r="A285" t="s">
        <x:v>342</x:v>
      </x:c>
      <x:c r="B285" t="s">
        <x:v>33</x:v>
      </x:c>
      <x:c r="C285" t="s">
        <x:v>20</x:v>
      </x:c>
      <x:c r="D285" t="s">
        <x:v>43</x:v>
      </x:c>
      <x:c r="E285" t="s">
        <x:v>49</x:v>
      </x:c>
      <x:c r="F285">
        <x:v>82</x:v>
      </x:c>
      <x:c r="G285">
        <x:v>381.35</x:v>
      </x:c>
      <x:c r="H285" t="s">
        <x:v>23</x:v>
      </x:c>
      <x:c r="I285" t="s">
        <x:v>24</x:v>
      </x:c>
      <x:c r="J285" s="1">
        <x:v>45606</x:v>
      </x:c>
      <x:c r="K285" t="s">
        <x:v>27</x:v>
      </x:c>
      <x:c r="M285"/>
      <x:c r="N285">
        <x:v>10</x:v>
      </x:c>
      <x:c r="O285">
        <x:v>4</x:v>
      </x:c>
      <x:c r="P285">
        <x:v>84</x:v>
      </x:c>
      <x:c r="Q285" t="s">
        <x:v>25</x:v>
      </x:c>
      <x:c r="R285" t="n">
        <x:f>IF(subscriptions[[#This Row],[churned]]="Yes",1,0)</x:f>
        <x:v>0</x:v>
      </x:c>
      <x:c r="S285" s="11" t="str">
        <x:f>IF(K285="Yes",(L285-J285)/30.4375,"")</x:f>
      </x:c>
      <x:c r="T285" t="str">
        <x:f>IF(AND(K285="No",P285&lt;40,O285&lt;=4),"High Risk","")</x:f>
      </x:c>
    </x:row>
    <x:row r="286">
      <x:c r="A286" t="s">
        <x:v>343</x:v>
      </x:c>
      <x:c r="B286" t="s">
        <x:v>33</x:v>
      </x:c>
      <x:c r="C286" t="s">
        <x:v>20</x:v>
      </x:c>
      <x:c r="D286" t="s">
        <x:v>56</x:v>
      </x:c>
      <x:c r="E286" t="s">
        <x:v>49</x:v>
      </x:c>
      <x:c r="F286">
        <x:v>111</x:v>
      </x:c>
      <x:c r="G286">
        <x:v>507.5</x:v>
      </x:c>
      <x:c r="H286" t="s">
        <x:v>102</x:v>
      </x:c>
      <x:c r="I286" t="s">
        <x:v>24</x:v>
      </x:c>
      <x:c r="J286" s="1">
        <x:v>46004</x:v>
      </x:c>
      <x:c r="K286" t="s">
        <x:v>27</x:v>
      </x:c>
      <x:c r="M286"/>
      <x:c r="N286">
        <x:v>9</x:v>
      </x:c>
      <x:c r="O286">
        <x:v>7</x:v>
      </x:c>
      <x:c r="P286">
        <x:v>73</x:v>
      </x:c>
      <x:c r="Q286" t="s">
        <x:v>27</x:v>
      </x:c>
      <x:c r="R286" t="n">
        <x:f>IF(subscriptions[[#This Row],[churned]]="Yes",1,0)</x:f>
        <x:v>0</x:v>
      </x:c>
      <x:c r="S286" s="11" t="str">
        <x:f>IF(K286="Yes",(L286-J286)/30.4375,"")</x:f>
      </x:c>
      <x:c r="T286" t="str">
        <x:f>IF(AND(K286="No",P286&lt;40,O286&lt;=4),"High Risk","")</x:f>
      </x:c>
    </x:row>
    <x:row r="287">
      <x:c r="A287" t="s">
        <x:v>344</x:v>
      </x:c>
      <x:c r="B287" t="s">
        <x:v>38</x:v>
      </x:c>
      <x:c r="C287" t="s">
        <x:v>29</x:v>
      </x:c>
      <x:c r="D287" t="s">
        <x:v>34</x:v>
      </x:c>
      <x:c r="E287" t="s">
        <x:v>46</x:v>
      </x:c>
      <x:c r="F287">
        <x:v>2</x:v>
      </x:c>
      <x:c r="G287">
        <x:v>194.52</x:v>
      </x:c>
      <x:c r="H287" t="s">
        <x:v>23</x:v>
      </x:c>
      <x:c r="I287" t="s">
        <x:v>73</x:v>
      </x:c>
      <x:c r="J287" s="1">
        <x:v>45109</x:v>
      </x:c>
      <x:c r="K287" t="s">
        <x:v>25</x:v>
      </x:c>
      <x:c r="L287" s="1">
        <x:v>45194</x:v>
      </x:c>
      <x:c r="M287" t="s">
        <x:v>57</x:v>
      </x:c>
      <x:c r="N287">
        <x:v>1</x:v>
      </x:c>
      <x:c r="O287">
        <x:v>2</x:v>
      </x:c>
      <x:c r="P287">
        <x:v>39</x:v>
      </x:c>
      <x:c r="Q287" t="s">
        <x:v>27</x:v>
      </x:c>
      <x:c r="R287" t="n">
        <x:f>IF(subscriptions[[#This Row],[churned]]="Yes",1,0)</x:f>
        <x:v>1</x:v>
      </x:c>
      <x:c r="S287" s="11" t="n">
        <x:f>IF(K287="Yes",(L287-J287)/30.4375,"")</x:f>
        <x:v>2.7926078028747434</x:v>
      </x:c>
      <x:c r="T287" t="str">
        <x:f>IF(AND(K287="No",P287&lt;40,O287&lt;=4),"High Risk","")</x:f>
      </x:c>
    </x:row>
    <x:row r="288">
      <x:c r="A288" t="s">
        <x:v>345</x:v>
      </x:c>
      <x:c r="B288" t="s">
        <x:v>75</x:v>
      </x:c>
      <x:c r="C288" t="s">
        <x:v>20</x:v>
      </x:c>
      <x:c r="D288" t="s">
        <x:v>43</x:v>
      </x:c>
      <x:c r="E288" t="s">
        <x:v>22</x:v>
      </x:c>
      <x:c r="F288">
        <x:v>71</x:v>
      </x:c>
      <x:c r="G288">
        <x:v>5738.5</x:v>
      </x:c>
      <x:c r="H288" t="s">
        <x:v>47</x:v>
      </x:c>
      <x:c r="I288" t="s">
        <x:v>24</x:v>
      </x:c>
      <x:c r="J288" s="1">
        <x:v>44939</x:v>
      </x:c>
      <x:c r="K288" t="s">
        <x:v>27</x:v>
      </x:c>
      <x:c r="M288"/>
      <x:c r="N288">
        <x:v>9</x:v>
      </x:c>
      <x:c r="O288">
        <x:v>10</x:v>
      </x:c>
      <x:c r="P288">
        <x:v>36</x:v>
      </x:c>
      <x:c r="Q288" t="s">
        <x:v>27</x:v>
      </x:c>
      <x:c r="R288" t="n">
        <x:f>IF(subscriptions[[#This Row],[churned]]="Yes",1,0)</x:f>
        <x:v>0</x:v>
      </x:c>
      <x:c r="S288" s="11" t="str">
        <x:f>IF(K288="Yes",(L288-J288)/30.4375,"")</x:f>
      </x:c>
      <x:c r="T288" t="str">
        <x:f>IF(AND(K288="No",P288&lt;40,O288&lt;=4),"High Risk","")</x:f>
      </x:c>
    </x:row>
    <x:row r="289">
      <x:c r="A289" t="s">
        <x:v>346</x:v>
      </x:c>
      <x:c r="B289" t="s">
        <x:v>38</x:v>
      </x:c>
      <x:c r="C289" t="s">
        <x:v>20</x:v>
      </x:c>
      <x:c r="D289" t="s">
        <x:v>45</x:v>
      </x:c>
      <x:c r="E289" t="s">
        <x:v>40</x:v>
      </x:c>
      <x:c r="F289">
        <x:v>19</x:v>
      </x:c>
      <x:c r="G289">
        <x:v>736.3</x:v>
      </x:c>
      <x:c r="H289" t="s">
        <x:v>23</x:v>
      </x:c>
      <x:c r="I289" t="s">
        <x:v>24</x:v>
      </x:c>
      <x:c r="J289" s="1">
        <x:v>45738</x:v>
      </x:c>
      <x:c r="K289" t="s">
        <x:v>27</x:v>
      </x:c>
      <x:c r="M289"/>
      <x:c r="N289">
        <x:v>12</x:v>
      </x:c>
      <x:c r="O289">
        <x:v>9</x:v>
      </x:c>
      <x:c r="P289">
        <x:v>47</x:v>
      </x:c>
      <x:c r="Q289" t="s">
        <x:v>25</x:v>
      </x:c>
      <x:c r="R289" t="n">
        <x:f>IF(subscriptions[[#This Row],[churned]]="Yes",1,0)</x:f>
        <x:v>0</x:v>
      </x:c>
      <x:c r="S289" s="11" t="str">
        <x:f>IF(K289="Yes",(L289-J289)/30.4375,"")</x:f>
      </x:c>
      <x:c r="T289" t="str">
        <x:f>IF(AND(K289="No",P289&lt;40,O289&lt;=4),"High Risk","")</x:f>
      </x:c>
    </x:row>
    <x:row r="290">
      <x:c r="A290" t="s">
        <x:v>347</x:v>
      </x:c>
      <x:c r="B290" t="s">
        <x:v>19</x:v>
      </x:c>
      <x:c r="C290" t="s">
        <x:v>20</x:v>
      </x:c>
      <x:c r="D290" t="s">
        <x:v>43</x:v>
      </x:c>
      <x:c r="E290" t="s">
        <x:v>22</x:v>
      </x:c>
      <x:c r="F290">
        <x:v>51</x:v>
      </x:c>
      <x:c r="G290">
        <x:v>671.5</x:v>
      </x:c>
      <x:c r="H290" t="s">
        <x:v>23</x:v>
      </x:c>
      <x:c r="I290" t="s">
        <x:v>24</x:v>
      </x:c>
      <x:c r="J290" s="1">
        <x:v>44567</x:v>
      </x:c>
      <x:c r="K290" t="s">
        <x:v>27</x:v>
      </x:c>
      <x:c r="M290"/>
      <x:c r="N290">
        <x:v>3</x:v>
      </x:c>
      <x:c r="O290">
        <x:v>7</x:v>
      </x:c>
      <x:c r="P290">
        <x:v>75</x:v>
      </x:c>
      <x:c r="Q290" t="s">
        <x:v>27</x:v>
      </x:c>
      <x:c r="R290" t="n">
        <x:f>IF(subscriptions[[#This Row],[churned]]="Yes",1,0)</x:f>
        <x:v>0</x:v>
      </x:c>
      <x:c r="S290" s="11" t="str">
        <x:f>IF(K290="Yes",(L290-J290)/30.4375,"")</x:f>
      </x:c>
      <x:c r="T290" t="str">
        <x:f>IF(AND(K290="No",P290&lt;40,O290&lt;=4),"High Risk","")</x:f>
      </x:c>
    </x:row>
    <x:row r="291">
      <x:c r="A291" t="s">
        <x:v>348</x:v>
      </x:c>
      <x:c r="B291" t="s">
        <x:v>38</x:v>
      </x:c>
      <x:c r="C291" t="s">
        <x:v>29</x:v>
      </x:c>
      <x:c r="D291" t="s">
        <x:v>83</x:v>
      </x:c>
      <x:c r="E291" t="s">
        <x:v>49</x:v>
      </x:c>
      <x:c r="F291">
        <x:v>55</x:v>
      </x:c>
      <x:c r="G291">
        <x:v>1539.27</x:v>
      </x:c>
      <x:c r="H291" t="s">
        <x:v>64</x:v>
      </x:c>
      <x:c r="I291" t="s">
        <x:v>73</x:v>
      </x:c>
      <x:c r="J291" s="1">
        <x:v>44771</x:v>
      </x:c>
      <x:c r="K291" t="s">
        <x:v>25</x:v>
      </x:c>
      <x:c r="L291" s="1">
        <x:v>45441</x:v>
      </x:c>
      <x:c r="M291" t="s">
        <x:v>50</x:v>
      </x:c>
      <x:c r="N291">
        <x:v>8</x:v>
      </x:c>
      <x:c r="O291">
        <x:v>2</x:v>
      </x:c>
      <x:c r="P291">
        <x:v>34</x:v>
      </x:c>
      <x:c r="Q291" t="s">
        <x:v>27</x:v>
      </x:c>
      <x:c r="R291" t="n">
        <x:f>IF(subscriptions[[#This Row],[churned]]="Yes",1,0)</x:f>
        <x:v>1</x:v>
      </x:c>
      <x:c r="S291" s="11" t="n">
        <x:f>IF(K291="Yes",(L291-J291)/30.4375,"")</x:f>
        <x:v>22.012320328542096</x:v>
      </x:c>
      <x:c r="T291" t="str">
        <x:f>IF(AND(K291="No",P291&lt;40,O291&lt;=4),"High Risk","")</x:f>
      </x:c>
    </x:row>
    <x:row r="292">
      <x:c r="A292" t="s">
        <x:v>349</x:v>
      </x:c>
      <x:c r="B292" t="s">
        <x:v>75</x:v>
      </x:c>
      <x:c r="C292" t="s">
        <x:v>29</x:v>
      </x:c>
      <x:c r="D292" t="s">
        <x:v>34</x:v>
      </x:c>
      <x:c r="E292" t="s">
        <x:v>22</x:v>
      </x:c>
      <x:c r="F292">
        <x:v>16</x:v>
      </x:c>
      <x:c r="G292">
        <x:v>1378.49</x:v>
      </x:c>
      <x:c r="H292" t="s">
        <x:v>102</x:v>
      </x:c>
      <x:c r="I292" t="s">
        <x:v>24</x:v>
      </x:c>
      <x:c r="J292" s="1">
        <x:v>44938</x:v>
      </x:c>
      <x:c r="K292" t="s">
        <x:v>27</x:v>
      </x:c>
      <x:c r="M292"/>
      <x:c r="N292">
        <x:v>9</x:v>
      </x:c>
      <x:c r="O292">
        <x:v>6</x:v>
      </x:c>
      <x:c r="P292">
        <x:v>31</x:v>
      </x:c>
      <x:c r="Q292" t="s">
        <x:v>27</x:v>
      </x:c>
      <x:c r="R292" t="n">
        <x:f>IF(subscriptions[[#This Row],[churned]]="Yes",1,0)</x:f>
        <x:v>0</x:v>
      </x:c>
      <x:c r="S292" s="11" t="str">
        <x:f>IF(K292="Yes",(L292-J292)/30.4375,"")</x:f>
      </x:c>
      <x:c r="T292" t="str">
        <x:f>IF(AND(K292="No",P292&lt;40,O292&lt;=4),"High Risk","")</x:f>
      </x:c>
    </x:row>
    <x:row r="293">
      <x:c r="A293" t="s">
        <x:v>350</x:v>
      </x:c>
      <x:c r="B293" t="s">
        <x:v>19</x:v>
      </x:c>
      <x:c r="C293" t="s">
        <x:v>20</x:v>
      </x:c>
      <x:c r="D293" t="s">
        <x:v>45</x:v>
      </x:c>
      <x:c r="E293" t="s">
        <x:v>46</x:v>
      </x:c>
      <x:c r="F293">
        <x:v>8</x:v>
      </x:c>
      <x:c r="G293">
        <x:v>161.94999999999999</x:v>
      </x:c>
      <x:c r="H293" t="s">
        <x:v>30</x:v>
      </x:c>
      <x:c r="I293" t="s">
        <x:v>24</x:v>
      </x:c>
      <x:c r="J293" s="1">
        <x:v>45110</x:v>
      </x:c>
      <x:c r="K293" t="s">
        <x:v>25</x:v>
      </x:c>
      <x:c r="L293" s="1">
        <x:v>45688</x:v>
      </x:c>
      <x:c r="M293" t="s">
        <x:v>54</x:v>
      </x:c>
      <x:c r="N293">
        <x:v>3</x:v>
      </x:c>
      <x:c r="O293">
        <x:v>1</x:v>
      </x:c>
      <x:c r="P293">
        <x:v>32</x:v>
      </x:c>
      <x:c r="Q293" t="s">
        <x:v>27</x:v>
      </x:c>
      <x:c r="R293" t="n">
        <x:f>IF(subscriptions[[#This Row],[churned]]="Yes",1,0)</x:f>
        <x:v>1</x:v>
      </x:c>
      <x:c r="S293" s="11" t="n">
        <x:f>IF(K293="Yes",(L293-J293)/30.4375,"")</x:f>
        <x:v>18.989733059548254</x:v>
      </x:c>
      <x:c r="T293" t="str">
        <x:f>IF(AND(K293="No",P293&lt;40,O293&lt;=4),"High Risk","")</x:f>
      </x:c>
    </x:row>
    <x:row r="294">
      <x:c r="A294" t="s">
        <x:v>351</x:v>
      </x:c>
      <x:c r="B294" t="s">
        <x:v>19</x:v>
      </x:c>
      <x:c r="C294" t="s">
        <x:v>20</x:v>
      </x:c>
      <x:c r="D294" t="s">
        <x:v>34</x:v>
      </x:c>
      <x:c r="E294" t="s">
        <x:v>40</x:v>
      </x:c>
      <x:c r="F294">
        <x:v>24</x:v>
      </x:c>
      <x:c r="G294">
        <x:v>351.55</x:v>
      </x:c>
      <x:c r="H294" t="s">
        <x:v>30</x:v>
      </x:c>
      <x:c r="I294" t="s">
        <x:v>24</x:v>
      </x:c>
      <x:c r="J294" s="1">
        <x:v>44613</x:v>
      </x:c>
      <x:c r="K294" t="s">
        <x:v>25</x:v>
      </x:c>
      <x:c r="L294" s="1">
        <x:v>44784</x:v>
      </x:c>
      <x:c r="M294" t="s">
        <x:v>54</x:v>
      </x:c>
      <x:c r="N294">
        <x:v>8</x:v>
      </x:c>
      <x:c r="O294">
        <x:v>1</x:v>
      </x:c>
      <x:c r="P294">
        <x:v>35</x:v>
      </x:c>
      <x:c r="Q294" t="s">
        <x:v>27</x:v>
      </x:c>
      <x:c r="R294" t="n">
        <x:f>IF(subscriptions[[#This Row],[churned]]="Yes",1,0)</x:f>
        <x:v>1</x:v>
      </x:c>
      <x:c r="S294" s="11" t="n">
        <x:f>IF(K294="Yes",(L294-J294)/30.4375,"")</x:f>
        <x:v>5.618069815195072</x:v>
      </x:c>
      <x:c r="T294" t="str">
        <x:f>IF(AND(K294="No",P294&lt;40,O294&lt;=4),"High Risk","")</x:f>
      </x:c>
    </x:row>
    <x:row r="295">
      <x:c r="A295" t="s">
        <x:v>352</x:v>
      </x:c>
      <x:c r="B295" t="s">
        <x:v>38</x:v>
      </x:c>
      <x:c r="C295" t="s">
        <x:v>20</x:v>
      </x:c>
      <x:c r="D295" t="s">
        <x:v>34</x:v>
      </x:c>
      <x:c r="E295" t="s">
        <x:v>22</x:v>
      </x:c>
      <x:c r="F295">
        <x:v>51</x:v>
      </x:c>
      <x:c r="G295">
        <x:v>1691.5</x:v>
      </x:c>
      <x:c r="H295" t="s">
        <x:v>47</x:v>
      </x:c>
      <x:c r="I295" t="s">
        <x:v>24</x:v>
      </x:c>
      <x:c r="J295" s="1">
        <x:v>45891</x:v>
      </x:c>
      <x:c r="K295" t="s">
        <x:v>25</x:v>
      </x:c>
      <x:c r="L295" s="1">
        <x:v>45975</x:v>
      </x:c>
      <x:c r="M295" t="s">
        <x:v>54</x:v>
      </x:c>
      <x:c r="N295">
        <x:v>1</x:v>
      </x:c>
      <x:c r="O295">
        <x:v>4</x:v>
      </x:c>
      <x:c r="P295">
        <x:v>25</x:v>
      </x:c>
      <x:c r="Q295" t="s">
        <x:v>27</x:v>
      </x:c>
      <x:c r="R295" t="n">
        <x:f>IF(subscriptions[[#This Row],[churned]]="Yes",1,0)</x:f>
        <x:v>1</x:v>
      </x:c>
      <x:c r="S295" s="11" t="n">
        <x:f>IF(K295="Yes",(L295-J295)/30.4375,"")</x:f>
        <x:v>2.759753593429158</x:v>
      </x:c>
      <x:c r="T295" t="str">
        <x:f>IF(AND(K295="No",P295&lt;40,O295&lt;=4),"High Risk","")</x:f>
      </x:c>
    </x:row>
    <x:row r="296">
      <x:c r="A296" t="s">
        <x:v>353</x:v>
      </x:c>
      <x:c r="B296" t="s">
        <x:v>33</x:v>
      </x:c>
      <x:c r="C296" t="s">
        <x:v>20</x:v>
      </x:c>
      <x:c r="D296" t="s">
        <x:v>43</x:v>
      </x:c>
      <x:c r="E296" t="s">
        <x:v>49</x:v>
      </x:c>
      <x:c r="F296">
        <x:v>34</x:v>
      </x:c>
      <x:c r="G296">
        <x:v>172.55</x:v>
      </x:c>
      <x:c r="H296" t="s">
        <x:v>47</x:v>
      </x:c>
      <x:c r="I296" t="s">
        <x:v>41</x:v>
      </x:c>
      <x:c r="J296" s="1">
        <x:v>44846</x:v>
      </x:c>
      <x:c r="K296" t="s">
        <x:v>25</x:v>
      </x:c>
      <x:c r="L296" s="1">
        <x:v>44863</x:v>
      </x:c>
      <x:c r="M296" t="s">
        <x:v>57</x:v>
      </x:c>
      <x:c r="N296">
        <x:v>6</x:v>
      </x:c>
      <x:c r="O296">
        <x:v>4</x:v>
      </x:c>
      <x:c r="P296">
        <x:v>12</x:v>
      </x:c>
      <x:c r="Q296" t="s">
        <x:v>27</x:v>
      </x:c>
      <x:c r="R296" t="n">
        <x:f>IF(subscriptions[[#This Row],[churned]]="Yes",1,0)</x:f>
        <x:v>1</x:v>
      </x:c>
      <x:c r="S296" s="11" t="n">
        <x:f>IF(K296="Yes",(L296-J296)/30.4375,"")</x:f>
        <x:v>0.5585215605749486</x:v>
      </x:c>
      <x:c r="T296" t="str">
        <x:f>IF(AND(K296="No",P296&lt;40,O296&lt;=4),"High Risk","")</x:f>
      </x:c>
    </x:row>
    <x:row r="297">
      <x:c r="A297" t="s">
        <x:v>354</x:v>
      </x:c>
      <x:c r="B297" t="s">
        <x:v>33</x:v>
      </x:c>
      <x:c r="C297" t="s">
        <x:v>20</x:v>
      </x:c>
      <x:c r="D297" t="s">
        <x:v>66</x:v>
      </x:c>
      <x:c r="E297" t="s">
        <x:v>49</x:v>
      </x:c>
      <x:c r="F297">
        <x:v>146</x:v>
      </x:c>
      <x:c r="G297">
        <x:v>659.75</x:v>
      </x:c>
      <x:c r="H297" t="s">
        <x:v>36</x:v>
      </x:c>
      <x:c r="I297" t="s">
        <x:v>24</x:v>
      </x:c>
      <x:c r="J297" s="1">
        <x:v>45218</x:v>
      </x:c>
      <x:c r="K297" t="s">
        <x:v>25</x:v>
      </x:c>
      <x:c r="L297" s="1">
        <x:v>45240</x:v>
      </x:c>
      <x:c r="M297" t="s">
        <x:v>26</x:v>
      </x:c>
      <x:c r="N297">
        <x:v>8</x:v>
      </x:c>
      <x:c r="O297">
        <x:v>3</x:v>
      </x:c>
      <x:c r="P297">
        <x:v>13</x:v>
      </x:c>
      <x:c r="Q297" t="s">
        <x:v>27</x:v>
      </x:c>
      <x:c r="R297" t="n">
        <x:f>IF(subscriptions[[#This Row],[churned]]="Yes",1,0)</x:f>
        <x:v>1</x:v>
      </x:c>
      <x:c r="S297" s="11" t="n">
        <x:f>IF(K297="Yes",(L297-J297)/30.4375,"")</x:f>
        <x:v>0.7227926078028748</x:v>
      </x:c>
      <x:c r="T297" t="str">
        <x:f>IF(AND(K297="No",P297&lt;40,O297&lt;=4),"High Risk","")</x:f>
      </x:c>
    </x:row>
    <x:row r="298">
      <x:c r="A298" t="s">
        <x:v>355</x:v>
      </x:c>
      <x:c r="B298" t="s">
        <x:v>38</x:v>
      </x:c>
      <x:c r="C298" t="s">
        <x:v>20</x:v>
      </x:c>
      <x:c r="D298" t="s">
        <x:v>45</x:v>
      </x:c>
      <x:c r="E298" t="s">
        <x:v>22</x:v>
      </x:c>
      <x:c r="F298">
        <x:v>36</x:v>
      </x:c>
      <x:c r="G298">
        <x:v>1243.75</x:v>
      </x:c>
      <x:c r="H298" t="s">
        <x:v>64</x:v>
      </x:c>
      <x:c r="I298" t="s">
        <x:v>24</x:v>
      </x:c>
      <x:c r="J298" s="1">
        <x:v>45645</x:v>
      </x:c>
      <x:c r="K298" t="s">
        <x:v>27</x:v>
      </x:c>
      <x:c r="M298"/>
      <x:c r="N298">
        <x:v>6</x:v>
      </x:c>
      <x:c r="O298">
        <x:v>10</x:v>
      </x:c>
      <x:c r="P298">
        <x:v>82</x:v>
      </x:c>
      <x:c r="Q298" t="s">
        <x:v>27</x:v>
      </x:c>
      <x:c r="R298" t="n">
        <x:f>IF(subscriptions[[#This Row],[churned]]="Yes",1,0)</x:f>
        <x:v>0</x:v>
      </x:c>
      <x:c r="S298" s="11" t="str">
        <x:f>IF(K298="Yes",(L298-J298)/30.4375,"")</x:f>
      </x:c>
      <x:c r="T298" t="str">
        <x:f>IF(AND(K298="No",P298&lt;40,O298&lt;=4),"High Risk","")</x:f>
      </x:c>
    </x:row>
    <x:row r="299">
      <x:c r="A299" t="s">
        <x:v>356</x:v>
      </x:c>
      <x:c r="B299" t="s">
        <x:v>33</x:v>
      </x:c>
      <x:c r="C299" t="s">
        <x:v>20</x:v>
      </x:c>
      <x:c r="D299" t="s">
        <x:v>66</x:v>
      </x:c>
      <x:c r="E299" t="s">
        <x:v>22</x:v>
      </x:c>
      <x:c r="F299">
        <x:v>70</x:v>
      </x:c>
      <x:c r="G299">
        <x:v>329.15</x:v>
      </x:c>
      <x:c r="H299" t="s">
        <x:v>30</x:v>
      </x:c>
      <x:c r="I299" t="s">
        <x:v>73</x:v>
      </x:c>
      <x:c r="J299" s="1">
        <x:v>45105</x:v>
      </x:c>
      <x:c r="K299" t="s">
        <x:v>25</x:v>
      </x:c>
      <x:c r="L299" s="1">
        <x:v>45531</x:v>
      </x:c>
      <x:c r="M299" t="s">
        <x:v>57</x:v>
      </x:c>
      <x:c r="N299">
        <x:v>15</x:v>
      </x:c>
      <x:c r="O299">
        <x:v>2</x:v>
      </x:c>
      <x:c r="P299">
        <x:v>11</x:v>
      </x:c>
      <x:c r="Q299" t="s">
        <x:v>27</x:v>
      </x:c>
      <x:c r="R299" t="n">
        <x:f>IF(subscriptions[[#This Row],[churned]]="Yes",1,0)</x:f>
        <x:v>1</x:v>
      </x:c>
      <x:c r="S299" s="11" t="n">
        <x:f>IF(K299="Yes",(L299-J299)/30.4375,"")</x:f>
        <x:v>13.995893223819301</x:v>
      </x:c>
      <x:c r="T299" t="str">
        <x:f>IF(AND(K299="No",P299&lt;40,O299&lt;=4),"High Risk","")</x:f>
      </x:c>
    </x:row>
    <x:row r="300">
      <x:c r="A300" t="s">
        <x:v>357</x:v>
      </x:c>
      <x:c r="B300" t="s">
        <x:v>38</x:v>
      </x:c>
      <x:c r="C300" t="s">
        <x:v>20</x:v>
      </x:c>
      <x:c r="D300" t="s">
        <x:v>21</x:v>
      </x:c>
      <x:c r="E300" t="s">
        <x:v>40</x:v>
      </x:c>
      <x:c r="F300">
        <x:v>13</x:v>
      </x:c>
      <x:c r="G300">
        <x:v>557.20000000000005</x:v>
      </x:c>
      <x:c r="H300" t="s">
        <x:v>23</x:v>
      </x:c>
      <x:c r="I300" t="s">
        <x:v>24</x:v>
      </x:c>
      <x:c r="J300" s="1">
        <x:v>44680</x:v>
      </x:c>
      <x:c r="K300" t="s">
        <x:v>25</x:v>
      </x:c>
      <x:c r="L300" s="1">
        <x:v>44757</x:v>
      </x:c>
      <x:c r="M300" t="s">
        <x:v>26</x:v>
      </x:c>
      <x:c r="N300">
        <x:v>6</x:v>
      </x:c>
      <x:c r="O300">
        <x:v>6</x:v>
      </x:c>
      <x:c r="P300">
        <x:v>43</x:v>
      </x:c>
      <x:c r="Q300" t="s">
        <x:v>27</x:v>
      </x:c>
      <x:c r="R300" t="n">
        <x:f>IF(subscriptions[[#This Row],[churned]]="Yes",1,0)</x:f>
        <x:v>1</x:v>
      </x:c>
      <x:c r="S300" s="11" t="n">
        <x:f>IF(K300="Yes",(L300-J300)/30.4375,"")</x:f>
        <x:v>2.529774127310062</x:v>
      </x:c>
      <x:c r="T300" t="str">
        <x:f>IF(AND(K300="No",P300&lt;40,O300&lt;=4),"High Risk","")</x:f>
      </x:c>
    </x:row>
    <x:row r="301">
      <x:c r="A301" t="s">
        <x:v>358</x:v>
      </x:c>
      <x:c r="B301" t="s">
        <x:v>33</x:v>
      </x:c>
      <x:c r="C301" t="s">
        <x:v>20</x:v>
      </x:c>
      <x:c r="D301" t="s">
        <x:v>43</x:v>
      </x:c>
      <x:c r="E301" t="s">
        <x:v>40</x:v>
      </x:c>
      <x:c r="F301">
        <x:v>23</x:v>
      </x:c>
      <x:c r="G301">
        <x:v>124.7</x:v>
      </x:c>
      <x:c r="H301" t="s">
        <x:v>64</x:v>
      </x:c>
      <x:c r="I301" t="s">
        <x:v>41</x:v>
      </x:c>
      <x:c r="J301" s="1">
        <x:v>45814</x:v>
      </x:c>
      <x:c r="K301" t="s">
        <x:v>27</x:v>
      </x:c>
      <x:c r="M301"/>
      <x:c r="N301">
        <x:v>11</x:v>
      </x:c>
      <x:c r="O301">
        <x:v>10</x:v>
      </x:c>
      <x:c r="P301">
        <x:v>44</x:v>
      </x:c>
      <x:c r="Q301" t="s">
        <x:v>27</x:v>
      </x:c>
      <x:c r="R301" t="n">
        <x:f>IF(subscriptions[[#This Row],[churned]]="Yes",1,0)</x:f>
        <x:v>0</x:v>
      </x:c>
      <x:c r="S301" s="11" t="str">
        <x:f>IF(K301="Yes",(L301-J301)/30.4375,"")</x:f>
      </x:c>
      <x:c r="T301" t="str">
        <x:f>IF(AND(K301="No",P301&lt;40,O301&lt;=4),"High Risk","")</x:f>
      </x:c>
    </x:row>
    <x:row r="302">
      <x:c r="A302" t="s">
        <x:v>359</x:v>
      </x:c>
      <x:c r="B302" t="s">
        <x:v>19</x:v>
      </x:c>
      <x:c r="C302" t="s">
        <x:v>29</x:v>
      </x:c>
      <x:c r="D302" t="s">
        <x:v>72</x:v>
      </x:c>
      <x:c r="E302" t="s">
        <x:v>49</x:v>
      </x:c>
      <x:c r="F302">
        <x:v>108</x:v>
      </x:c>
      <x:c r="G302">
        <x:v>1144.9100000000001</x:v>
      </x:c>
      <x:c r="H302" t="s">
        <x:v>23</x:v>
      </x:c>
      <x:c r="I302" t="s">
        <x:v>24</x:v>
      </x:c>
      <x:c r="J302" s="1">
        <x:v>45640</x:v>
      </x:c>
      <x:c r="K302" t="s">
        <x:v>27</x:v>
      </x:c>
      <x:c r="M302"/>
      <x:c r="N302">
        <x:v>3</x:v>
      </x:c>
      <x:c r="O302">
        <x:v>6</x:v>
      </x:c>
      <x:c r="P302">
        <x:v>32</x:v>
      </x:c>
      <x:c r="Q302" t="s">
        <x:v>25</x:v>
      </x:c>
      <x:c r="R302" t="n">
        <x:f>IF(subscriptions[[#This Row],[churned]]="Yes",1,0)</x:f>
        <x:v>0</x:v>
      </x:c>
      <x:c r="S302" s="11" t="str">
        <x:f>IF(K302="Yes",(L302-J302)/30.4375,"")</x:f>
      </x:c>
      <x:c r="T302" t="str">
        <x:f>IF(AND(K302="No",P302&lt;40,O302&lt;=4),"High Risk","")</x:f>
      </x:c>
    </x:row>
    <x:row r="303">
      <x:c r="A303" t="s">
        <x:v>360</x:v>
      </x:c>
      <x:c r="B303" t="s">
        <x:v>38</x:v>
      </x:c>
      <x:c r="C303" t="s">
        <x:v>29</x:v>
      </x:c>
      <x:c r="D303" t="s">
        <x:v>34</x:v>
      </x:c>
      <x:c r="E303" t="s">
        <x:v>40</x:v>
      </x:c>
      <x:c r="F303">
        <x:v>19</x:v>
      </x:c>
      <x:c r="G303">
        <x:v>625.86</x:v>
      </x:c>
      <x:c r="H303" t="s">
        <x:v>64</x:v>
      </x:c>
      <x:c r="I303" t="s">
        <x:v>24</x:v>
      </x:c>
      <x:c r="J303" s="1">
        <x:v>45024</x:v>
      </x:c>
      <x:c r="K303" t="s">
        <x:v>27</x:v>
      </x:c>
      <x:c r="M303"/>
      <x:c r="N303">
        <x:v>8</x:v>
      </x:c>
      <x:c r="O303">
        <x:v>10</x:v>
      </x:c>
      <x:c r="P303">
        <x:v>53</x:v>
      </x:c>
      <x:c r="Q303" t="s">
        <x:v>27</x:v>
      </x:c>
      <x:c r="R303" t="n">
        <x:f>IF(subscriptions[[#This Row],[churned]]="Yes",1,0)</x:f>
        <x:v>0</x:v>
      </x:c>
      <x:c r="S303" s="11" t="str">
        <x:f>IF(K303="Yes",(L303-J303)/30.4375,"")</x:f>
      </x:c>
      <x:c r="T303" t="str">
        <x:f>IF(AND(K303="No",P303&lt;40,O303&lt;=4),"High Risk","")</x:f>
      </x:c>
    </x:row>
    <x:row r="304">
      <x:c r="A304" t="s">
        <x:v>361</x:v>
      </x:c>
      <x:c r="B304" t="s">
        <x:v>38</x:v>
      </x:c>
      <x:c r="C304" t="s">
        <x:v>29</x:v>
      </x:c>
      <x:c r="D304" t="s">
        <x:v>83</x:v>
      </x:c>
      <x:c r="E304" t="s">
        <x:v>40</x:v>
      </x:c>
      <x:c r="F304">
        <x:v>22</x:v>
      </x:c>
      <x:c r="G304">
        <x:v>701.97</x:v>
      </x:c>
      <x:c r="H304" t="s">
        <x:v>102</x:v>
      </x:c>
      <x:c r="I304" t="s">
        <x:v>73</x:v>
      </x:c>
      <x:c r="J304" s="1">
        <x:v>44585</x:v>
      </x:c>
      <x:c r="K304" t="s">
        <x:v>25</x:v>
      </x:c>
      <x:c r="L304" s="1">
        <x:v>45272</x:v>
      </x:c>
      <x:c r="M304" t="s">
        <x:v>50</x:v>
      </x:c>
      <x:c r="N304">
        <x:v>1</x:v>
      </x:c>
      <x:c r="O304">
        <x:v>5</x:v>
      </x:c>
      <x:c r="P304">
        <x:v>10</x:v>
      </x:c>
      <x:c r="Q304" t="s">
        <x:v>27</x:v>
      </x:c>
      <x:c r="R304" t="n">
        <x:f>IF(subscriptions[[#This Row],[churned]]="Yes",1,0)</x:f>
        <x:v>1</x:v>
      </x:c>
      <x:c r="S304" s="11" t="n">
        <x:f>IF(K304="Yes",(L304-J304)/30.4375,"")</x:f>
        <x:v>22.570841889117045</x:v>
      </x:c>
      <x:c r="T304" t="str">
        <x:f>IF(AND(K304="No",P304&lt;40,O304&lt;=4),"High Risk","")</x:f>
      </x:c>
    </x:row>
    <x:row r="305">
      <x:c r="A305" t="s">
        <x:v>362</x:v>
      </x:c>
      <x:c r="B305" t="s">
        <x:v>19</x:v>
      </x:c>
      <x:c r="C305" t="s">
        <x:v>29</x:v>
      </x:c>
      <x:c r="D305" t="s">
        <x:v>53</x:v>
      </x:c>
      <x:c r="E305" t="s">
        <x:v>40</x:v>
      </x:c>
      <x:c r="F305">
        <x:v>29</x:v>
      </x:c>
      <x:c r="G305">
        <x:v>349.18</x:v>
      </x:c>
      <x:c r="H305" t="s">
        <x:v>47</x:v>
      </x:c>
      <x:c r="I305" t="s">
        <x:v>24</x:v>
      </x:c>
      <x:c r="J305" s="1">
        <x:v>44898</x:v>
      </x:c>
      <x:c r="K305" t="s">
        <x:v>25</x:v>
      </x:c>
      <x:c r="L305" s="1">
        <x:v>44976</x:v>
      </x:c>
      <x:c r="M305" t="s">
        <x:v>67</x:v>
      </x:c>
      <x:c r="N305">
        <x:v>14</x:v>
      </x:c>
      <x:c r="O305">
        <x:v>3</x:v>
      </x:c>
      <x:c r="P305">
        <x:v>32</x:v>
      </x:c>
      <x:c r="Q305" t="s">
        <x:v>27</x:v>
      </x:c>
      <x:c r="R305" t="n">
        <x:f>IF(subscriptions[[#This Row],[churned]]="Yes",1,0)</x:f>
        <x:v>1</x:v>
      </x:c>
      <x:c r="S305" s="11" t="n">
        <x:f>IF(K305="Yes",(L305-J305)/30.4375,"")</x:f>
        <x:v>2.5626283367556466</x:v>
      </x:c>
      <x:c r="T305" t="str">
        <x:f>IF(AND(K305="No",P305&lt;40,O305&lt;=4),"High Risk","")</x:f>
      </x:c>
    </x:row>
    <x:row r="306">
      <x:c r="A306" t="s">
        <x:v>363</x:v>
      </x:c>
      <x:c r="B306" t="s">
        <x:v>38</x:v>
      </x:c>
      <x:c r="C306" t="s">
        <x:v>20</x:v>
      </x:c>
      <x:c r="D306" t="s">
        <x:v>43</x:v>
      </x:c>
      <x:c r="E306" t="s">
        <x:v>49</x:v>
      </x:c>
      <x:c r="F306">
        <x:v>99</x:v>
      </x:c>
      <x:c r="G306">
        <x:v>3124.3</x:v>
      </x:c>
      <x:c r="H306" t="s">
        <x:v>36</x:v>
      </x:c>
      <x:c r="I306" t="s">
        <x:v>24</x:v>
      </x:c>
      <x:c r="J306" s="1">
        <x:v>45712</x:v>
      </x:c>
      <x:c r="K306" t="s">
        <x:v>27</x:v>
      </x:c>
      <x:c r="M306"/>
      <x:c r="N306">
        <x:v>8</x:v>
      </x:c>
      <x:c r="O306">
        <x:v>7</x:v>
      </x:c>
      <x:c r="P306">
        <x:v>17</x:v>
      </x:c>
      <x:c r="Q306" t="s">
        <x:v>27</x:v>
      </x:c>
      <x:c r="R306" t="n">
        <x:f>IF(subscriptions[[#This Row],[churned]]="Yes",1,0)</x:f>
        <x:v>0</x:v>
      </x:c>
      <x:c r="S306" s="11" t="str">
        <x:f>IF(K306="Yes",(L306-J306)/30.4375,"")</x:f>
      </x:c>
      <x:c r="T306" t="str">
        <x:f>IF(AND(K306="No",P306&lt;40,O306&lt;=4),"High Risk","")</x:f>
      </x:c>
    </x:row>
    <x:row r="307">
      <x:c r="A307" t="s">
        <x:v>364</x:v>
      </x:c>
      <x:c r="B307" t="s">
        <x:v>38</x:v>
      </x:c>
      <x:c r="C307" t="s">
        <x:v>20</x:v>
      </x:c>
      <x:c r="D307" t="s">
        <x:v>72</x:v>
      </x:c>
      <x:c r="E307" t="s">
        <x:v>40</x:v>
      </x:c>
      <x:c r="F307">
        <x:v>26</x:v>
      </x:c>
      <x:c r="G307">
        <x:v>945.25</x:v>
      </x:c>
      <x:c r="H307" t="s">
        <x:v>23</x:v>
      </x:c>
      <x:c r="I307" t="s">
        <x:v>41</x:v>
      </x:c>
      <x:c r="J307" s="1">
        <x:v>45641</x:v>
      </x:c>
      <x:c r="K307" t="s">
        <x:v>27</x:v>
      </x:c>
      <x:c r="M307"/>
      <x:c r="N307">
        <x:v>4</x:v>
      </x:c>
      <x:c r="O307">
        <x:v>6</x:v>
      </x:c>
      <x:c r="P307">
        <x:v>41</x:v>
      </x:c>
      <x:c r="Q307" t="s">
        <x:v>27</x:v>
      </x:c>
      <x:c r="R307" t="n">
        <x:f>IF(subscriptions[[#This Row],[churned]]="Yes",1,0)</x:f>
        <x:v>0</x:v>
      </x:c>
      <x:c r="S307" s="11" t="str">
        <x:f>IF(K307="Yes",(L307-J307)/30.4375,"")</x:f>
      </x:c>
      <x:c r="T307" t="str">
        <x:f>IF(AND(K307="No",P307&lt;40,O307&lt;=4),"High Risk","")</x:f>
      </x:c>
    </x:row>
    <x:row r="308">
      <x:c r="A308" t="s">
        <x:v>365</x:v>
      </x:c>
      <x:c r="B308" t="s">
        <x:v>75</x:v>
      </x:c>
      <x:c r="C308" t="s">
        <x:v>29</x:v>
      </x:c>
      <x:c r="D308" t="s">
        <x:v>43</x:v>
      </x:c>
      <x:c r="E308" t="s">
        <x:v>22</x:v>
      </x:c>
      <x:c r="F308">
        <x:v>50</x:v>
      </x:c>
      <x:c r="G308">
        <x:v>3541.65</x:v>
      </x:c>
      <x:c r="H308" t="s">
        <x:v>23</x:v>
      </x:c>
      <x:c r="I308" t="s">
        <x:v>24</x:v>
      </x:c>
      <x:c r="J308" s="1">
        <x:v>45697</x:v>
      </x:c>
      <x:c r="K308" t="s">
        <x:v>27</x:v>
      </x:c>
      <x:c r="M308"/>
      <x:c r="N308">
        <x:v>9</x:v>
      </x:c>
      <x:c r="O308">
        <x:v>9</x:v>
      </x:c>
      <x:c r="P308">
        <x:v>36</x:v>
      </x:c>
      <x:c r="Q308" t="s">
        <x:v>27</x:v>
      </x:c>
      <x:c r="R308" t="n">
        <x:f>IF(subscriptions[[#This Row],[churned]]="Yes",1,0)</x:f>
        <x:v>0</x:v>
      </x:c>
      <x:c r="S308" s="11" t="str">
        <x:f>IF(K308="Yes",(L308-J308)/30.4375,"")</x:f>
      </x:c>
      <x:c r="T308" t="str">
        <x:f>IF(AND(K308="No",P308&lt;40,O308&lt;=4),"High Risk","")</x:f>
      </x:c>
    </x:row>
    <x:row r="309">
      <x:c r="A309" t="s">
        <x:v>366</x:v>
      </x:c>
      <x:c r="B309" t="s">
        <x:v>38</x:v>
      </x:c>
      <x:c r="C309" t="s">
        <x:v>29</x:v>
      </x:c>
      <x:c r="D309" t="s">
        <x:v>83</x:v>
      </x:c>
      <x:c r="E309" t="s">
        <x:v>40</x:v>
      </x:c>
      <x:c r="F309">
        <x:v>21</x:v>
      </x:c>
      <x:c r="G309">
        <x:v>676.6</x:v>
      </x:c>
      <x:c r="H309" t="s">
        <x:v>64</x:v>
      </x:c>
      <x:c r="I309" t="s">
        <x:v>24</x:v>
      </x:c>
      <x:c r="J309" s="1">
        <x:v>45920</x:v>
      </x:c>
      <x:c r="K309" t="s">
        <x:v>27</x:v>
      </x:c>
      <x:c r="M309"/>
      <x:c r="N309">
        <x:v>0</x:v>
      </x:c>
      <x:c r="O309">
        <x:v>8</x:v>
      </x:c>
      <x:c r="P309">
        <x:v>91</x:v>
      </x:c>
      <x:c r="Q309" t="s">
        <x:v>27</x:v>
      </x:c>
      <x:c r="R309" t="n">
        <x:f>IF(subscriptions[[#This Row],[churned]]="Yes",1,0)</x:f>
        <x:v>0</x:v>
      </x:c>
      <x:c r="S309" s="11" t="str">
        <x:f>IF(K309="Yes",(L309-J309)/30.4375,"")</x:f>
      </x:c>
      <x:c r="T309" t="str">
        <x:f>IF(AND(K309="No",P309&lt;40,O309&lt;=4),"High Risk","")</x:f>
      </x:c>
    </x:row>
    <x:row r="310">
      <x:c r="A310" t="s">
        <x:v>367</x:v>
      </x:c>
      <x:c r="B310" t="s">
        <x:v>33</x:v>
      </x:c>
      <x:c r="C310" t="s">
        <x:v>29</x:v>
      </x:c>
      <x:c r="D310" t="s">
        <x:v>43</x:v>
      </x:c>
      <x:c r="E310" t="s">
        <x:v>46</x:v>
      </x:c>
      <x:c r="F310">
        <x:v>7</x:v>
      </x:c>
      <x:c r="G310">
        <x:v>46.83</x:v>
      </x:c>
      <x:c r="H310" t="s">
        <x:v>64</x:v>
      </x:c>
      <x:c r="I310" t="s">
        <x:v>24</x:v>
      </x:c>
      <x:c r="J310" s="1">
        <x:v>45172</x:v>
      </x:c>
      <x:c r="K310" t="s">
        <x:v>25</x:v>
      </x:c>
      <x:c r="L310" s="1">
        <x:v>45300</x:v>
      </x:c>
      <x:c r="M310" t="s">
        <x:v>50</x:v>
      </x:c>
      <x:c r="N310">
        <x:v>5</x:v>
      </x:c>
      <x:c r="O310">
        <x:v>2</x:v>
      </x:c>
      <x:c r="P310">
        <x:v>41</x:v>
      </x:c>
      <x:c r="Q310" t="s">
        <x:v>27</x:v>
      </x:c>
      <x:c r="R310" t="n">
        <x:f>IF(subscriptions[[#This Row],[churned]]="Yes",1,0)</x:f>
        <x:v>1</x:v>
      </x:c>
      <x:c r="S310" s="11" t="n">
        <x:f>IF(K310="Yes",(L310-J310)/30.4375,"")</x:f>
        <x:v>4.205338809034908</x:v>
      </x:c>
      <x:c r="T310" t="str">
        <x:f>IF(AND(K310="No",P310&lt;40,O310&lt;=4),"High Risk","")</x:f>
      </x:c>
    </x:row>
    <x:row r="311">
      <x:c r="A311" t="s">
        <x:v>368</x:v>
      </x:c>
      <x:c r="B311" t="s">
        <x:v>33</x:v>
      </x:c>
      <x:c r="C311" t="s">
        <x:v>20</x:v>
      </x:c>
      <x:c r="D311" t="s">
        <x:v>72</x:v>
      </x:c>
      <x:c r="E311" t="s">
        <x:v>49</x:v>
      </x:c>
      <x:c r="F311">
        <x:v>71</x:v>
      </x:c>
      <x:c r="G311">
        <x:v>333.5</x:v>
      </x:c>
      <x:c r="H311" t="s">
        <x:v>30</x:v>
      </x:c>
      <x:c r="I311" t="s">
        <x:v>41</x:v>
      </x:c>
      <x:c r="J311" s="1">
        <x:v>45115</x:v>
      </x:c>
      <x:c r="K311" t="s">
        <x:v>25</x:v>
      </x:c>
      <x:c r="L311" s="1">
        <x:v>45333</x:v>
      </x:c>
      <x:c r="M311" t="s">
        <x:v>67</x:v>
      </x:c>
      <x:c r="N311">
        <x:v>1</x:v>
      </x:c>
      <x:c r="O311">
        <x:v>3</x:v>
      </x:c>
      <x:c r="P311">
        <x:v>14</x:v>
      </x:c>
      <x:c r="Q311" t="s">
        <x:v>27</x:v>
      </x:c>
      <x:c r="R311" t="n">
        <x:f>IF(subscriptions[[#This Row],[churned]]="Yes",1,0)</x:f>
        <x:v>1</x:v>
      </x:c>
      <x:c r="S311" s="11" t="n">
        <x:f>IF(K311="Yes",(L311-J311)/30.4375,"")</x:f>
        <x:v>7.162217659137577</x:v>
      </x:c>
      <x:c r="T311" t="str">
        <x:f>IF(AND(K311="No",P311&lt;40,O311&lt;=4),"High Risk","")</x:f>
      </x:c>
    </x:row>
    <x:row r="312">
      <x:c r="A312" t="s">
        <x:v>369</x:v>
      </x:c>
      <x:c r="B312" t="s">
        <x:v>19</x:v>
      </x:c>
      <x:c r="C312" t="s">
        <x:v>29</x:v>
      </x:c>
      <x:c r="D312" t="s">
        <x:v>34</x:v>
      </x:c>
      <x:c r="E312" t="s">
        <x:v>35</x:v>
      </x:c>
      <x:c r="F312">
        <x:v>290</x:v>
      </x:c>
      <x:c r="G312">
        <x:v>2978.1</x:v>
      </x:c>
      <x:c r="H312" t="s">
        <x:v>47</x:v>
      </x:c>
      <x:c r="I312" t="s">
        <x:v>24</x:v>
      </x:c>
      <x:c r="J312" s="1">
        <x:v>45337</x:v>
      </x:c>
      <x:c r="K312" t="s">
        <x:v>27</x:v>
      </x:c>
      <x:c r="M312"/>
      <x:c r="N312">
        <x:v>9</x:v>
      </x:c>
      <x:c r="O312">
        <x:v>9</x:v>
      </x:c>
      <x:c r="P312">
        <x:v>39</x:v>
      </x:c>
      <x:c r="Q312" t="s">
        <x:v>27</x:v>
      </x:c>
      <x:c r="R312" t="n">
        <x:f>IF(subscriptions[[#This Row],[churned]]="Yes",1,0)</x:f>
        <x:v>0</x:v>
      </x:c>
      <x:c r="S312" s="11" t="str">
        <x:f>IF(K312="Yes",(L312-J312)/30.4375,"")</x:f>
      </x:c>
      <x:c r="T312" t="str">
        <x:f>IF(AND(K312="No",P312&lt;40,O312&lt;=4),"High Risk","")</x:f>
      </x:c>
    </x:row>
    <x:row r="313">
      <x:c r="A313" t="s">
        <x:v>370</x:v>
      </x:c>
      <x:c r="B313" t="s">
        <x:v>33</x:v>
      </x:c>
      <x:c r="C313" t="s">
        <x:v>29</x:v>
      </x:c>
      <x:c r="D313" t="s">
        <x:v>39</x:v>
      </x:c>
      <x:c r="E313" t="s">
        <x:v>49</x:v>
      </x:c>
      <x:c r="F313">
        <x:v>36</x:v>
      </x:c>
      <x:c r="G313">
        <x:v>154.06</x:v>
      </x:c>
      <x:c r="H313" t="s">
        <x:v>36</x:v>
      </x:c>
      <x:c r="I313" t="s">
        <x:v>59</x:v>
      </x:c>
      <x:c r="J313" s="1">
        <x:v>45357</x:v>
      </x:c>
      <x:c r="K313" t="s">
        <x:v>25</x:v>
      </x:c>
      <x:c r="L313" s="1">
        <x:v>45536</x:v>
      </x:c>
      <x:c r="M313" t="s">
        <x:v>54</x:v>
      </x:c>
      <x:c r="N313">
        <x:v>4</x:v>
      </x:c>
      <x:c r="O313">
        <x:v>5</x:v>
      </x:c>
      <x:c r="P313">
        <x:v>42</x:v>
      </x:c>
      <x:c r="Q313" t="s">
        <x:v>27</x:v>
      </x:c>
      <x:c r="R313" t="n">
        <x:f>IF(subscriptions[[#This Row],[churned]]="Yes",1,0)</x:f>
        <x:v>1</x:v>
      </x:c>
      <x:c r="S313" s="11" t="n">
        <x:f>IF(K313="Yes",(L313-J313)/30.4375,"")</x:f>
        <x:v>5.880903490759754</x:v>
      </x:c>
      <x:c r="T313" t="str">
        <x:f>IF(AND(K313="No",P313&lt;40,O313&lt;=4),"High Risk","")</x:f>
      </x:c>
    </x:row>
    <x:row r="314">
      <x:c r="A314" t="s">
        <x:v>371</x:v>
      </x:c>
      <x:c r="B314" t="s">
        <x:v>33</x:v>
      </x:c>
      <x:c r="C314" t="s">
        <x:v>20</x:v>
      </x:c>
      <x:c r="D314" t="s">
        <x:v>66</x:v>
      </x:c>
      <x:c r="E314" t="s">
        <x:v>22</x:v>
      </x:c>
      <x:c r="F314">
        <x:v>74</x:v>
      </x:c>
      <x:c r="G314">
        <x:v>346.55</x:v>
      </x:c>
      <x:c r="H314" t="s">
        <x:v>23</x:v>
      </x:c>
      <x:c r="I314" t="s">
        <x:v>41</x:v>
      </x:c>
      <x:c r="J314" s="1">
        <x:v>45679</x:v>
      </x:c>
      <x:c r="K314" t="s">
        <x:v>27</x:v>
      </x:c>
      <x:c r="M314"/>
      <x:c r="N314">
        <x:v>3</x:v>
      </x:c>
      <x:c r="O314">
        <x:v>4</x:v>
      </x:c>
      <x:c r="P314">
        <x:v>18</x:v>
      </x:c>
      <x:c r="Q314" t="s">
        <x:v>27</x:v>
      </x:c>
      <x:c r="R314" t="n">
        <x:f>IF(subscriptions[[#This Row],[churned]]="Yes",1,0)</x:f>
        <x:v>0</x:v>
      </x:c>
      <x:c r="S314" s="11" t="str">
        <x:f>IF(K314="Yes",(L314-J314)/30.4375,"")</x:f>
      </x:c>
      <x:c r="T314" t="str">
        <x:f>IF(AND(K314="No",P314&lt;40,O314&lt;=4),"High Risk","")</x:f>
        <x:v>High Risk</x:v>
      </x:c>
    </x:row>
    <x:row r="315">
      <x:c r="A315" t="s">
        <x:v>372</x:v>
      </x:c>
      <x:c r="B315" t="s">
        <x:v>33</x:v>
      </x:c>
      <x:c r="C315" t="s">
        <x:v>29</x:v>
      </x:c>
      <x:c r="D315" t="s">
        <x:v>53</x:v>
      </x:c>
      <x:c r="E315" t="s">
        <x:v>46</x:v>
      </x:c>
      <x:c r="F315">
        <x:v>8</x:v>
      </x:c>
      <x:c r="G315">
        <x:v>50.53</x:v>
      </x:c>
      <x:c r="H315" t="s">
        <x:v>47</x:v>
      </x:c>
      <x:c r="I315" t="s">
        <x:v>73</x:v>
      </x:c>
      <x:c r="J315" s="1">
        <x:v>45572</x:v>
      </x:c>
      <x:c r="K315" t="s">
        <x:v>27</x:v>
      </x:c>
      <x:c r="M315"/>
      <x:c r="N315">
        <x:v>3</x:v>
      </x:c>
      <x:c r="O315">
        <x:v>2</x:v>
      </x:c>
      <x:c r="P315">
        <x:v>22</x:v>
      </x:c>
      <x:c r="Q315" t="s">
        <x:v>27</x:v>
      </x:c>
      <x:c r="R315" t="n">
        <x:f>IF(subscriptions[[#This Row],[churned]]="Yes",1,0)</x:f>
        <x:v>0</x:v>
      </x:c>
      <x:c r="S315" s="11" t="str">
        <x:f>IF(K315="Yes",(L315-J315)/30.4375,"")</x:f>
      </x:c>
      <x:c r="T315" t="str">
        <x:f>IF(AND(K315="No",P315&lt;40,O315&lt;=4),"High Risk","")</x:f>
        <x:v>High Risk</x:v>
      </x:c>
    </x:row>
    <x:row r="316">
      <x:c r="A316" t="s">
        <x:v>373</x:v>
      </x:c>
      <x:c r="B316" t="s">
        <x:v>33</x:v>
      </x:c>
      <x:c r="C316" t="s">
        <x:v>20</x:v>
      </x:c>
      <x:c r="D316" t="s">
        <x:v>66</x:v>
      </x:c>
      <x:c r="E316" t="s">
        <x:v>40</x:v>
      </x:c>
      <x:c r="F316">
        <x:v>13</x:v>
      </x:c>
      <x:c r="G316">
        <x:v>81.2</x:v>
      </x:c>
      <x:c r="H316" t="s">
        <x:v>64</x:v>
      </x:c>
      <x:c r="I316" t="s">
        <x:v>41</x:v>
      </x:c>
      <x:c r="J316" s="1">
        <x:v>45739</x:v>
      </x:c>
      <x:c r="K316" t="s">
        <x:v>25</x:v>
      </x:c>
      <x:c r="L316" s="1">
        <x:v>45920</x:v>
      </x:c>
      <x:c r="M316" t="s">
        <x:v>60</x:v>
      </x:c>
      <x:c r="N316">
        <x:v>12</x:v>
      </x:c>
      <x:c r="O316">
        <x:v>3</x:v>
      </x:c>
      <x:c r="P316">
        <x:v>29</x:v>
      </x:c>
      <x:c r="Q316" t="s">
        <x:v>27</x:v>
      </x:c>
      <x:c r="R316" t="n">
        <x:f>IF(subscriptions[[#This Row],[churned]]="Yes",1,0)</x:f>
        <x:v>1</x:v>
      </x:c>
      <x:c r="S316" s="11" t="n">
        <x:f>IF(K316="Yes",(L316-J316)/30.4375,"")</x:f>
        <x:v>5.946611909650924</x:v>
      </x:c>
      <x:c r="T316" t="str">
        <x:f>IF(AND(K316="No",P316&lt;40,O316&lt;=4),"High Risk","")</x:f>
      </x:c>
    </x:row>
    <x:row r="317">
      <x:c r="A317" t="s">
        <x:v>374</x:v>
      </x:c>
      <x:c r="B317" t="s">
        <x:v>19</x:v>
      </x:c>
      <x:c r="C317" t="s">
        <x:v>29</x:v>
      </x:c>
      <x:c r="D317" t="s">
        <x:v>34</x:v>
      </x:c>
      <x:c r="E317" t="s">
        <x:v>40</x:v>
      </x:c>
      <x:c r="F317">
        <x:v>33</x:v>
      </x:c>
      <x:c r="G317">
        <x:v>389.47</x:v>
      </x:c>
      <x:c r="H317" t="s">
        <x:v>36</x:v>
      </x:c>
      <x:c r="I317" t="s">
        <x:v>73</x:v>
      </x:c>
      <x:c r="J317" s="1">
        <x:v>44835</x:v>
      </x:c>
      <x:c r="K317" t="s">
        <x:v>25</x:v>
      </x:c>
      <x:c r="L317" s="1">
        <x:v>45906</x:v>
      </x:c>
      <x:c r="M317" t="s">
        <x:v>50</x:v>
      </x:c>
      <x:c r="N317">
        <x:v>11</x:v>
      </x:c>
      <x:c r="O317">
        <x:v>6</x:v>
      </x:c>
      <x:c r="P317">
        <x:v>37</x:v>
      </x:c>
      <x:c r="Q317" t="s">
        <x:v>27</x:v>
      </x:c>
      <x:c r="R317" t="n">
        <x:f>IF(subscriptions[[#This Row],[churned]]="Yes",1,0)</x:f>
        <x:v>1</x:v>
      </x:c>
      <x:c r="S317" s="11" t="n">
        <x:f>IF(K317="Yes",(L317-J317)/30.4375,"")</x:f>
        <x:v>35.186858316221766</x:v>
      </x:c>
      <x:c r="T317" t="str">
        <x:f>IF(AND(K317="No",P317&lt;40,O317&lt;=4),"High Risk","")</x:f>
      </x:c>
    </x:row>
    <x:row r="318">
      <x:c r="A318" t="s">
        <x:v>375</x:v>
      </x:c>
      <x:c r="B318" t="s">
        <x:v>33</x:v>
      </x:c>
      <x:c r="C318" t="s">
        <x:v>20</x:v>
      </x:c>
      <x:c r="D318" t="s">
        <x:v>34</x:v>
      </x:c>
      <x:c r="E318" t="s">
        <x:v>40</x:v>
      </x:c>
      <x:c r="F318">
        <x:v>31</x:v>
      </x:c>
      <x:c r="G318">
        <x:v>159.5</x:v>
      </x:c>
      <x:c r="H318" t="s">
        <x:v>36</x:v>
      </x:c>
      <x:c r="I318" t="s">
        <x:v>24</x:v>
      </x:c>
      <x:c r="J318" s="1">
        <x:v>45635</x:v>
      </x:c>
      <x:c r="K318" t="s">
        <x:v>25</x:v>
      </x:c>
      <x:c r="L318" s="1">
        <x:v>45758</x:v>
      </x:c>
      <x:c r="M318" t="s">
        <x:v>26</x:v>
      </x:c>
      <x:c r="N318">
        <x:v>6</x:v>
      </x:c>
      <x:c r="O318">
        <x:v>3</x:v>
      </x:c>
      <x:c r="P318">
        <x:v>26</x:v>
      </x:c>
      <x:c r="Q318" t="s">
        <x:v>27</x:v>
      </x:c>
      <x:c r="R318" t="n">
        <x:f>IF(subscriptions[[#This Row],[churned]]="Yes",1,0)</x:f>
        <x:v>1</x:v>
      </x:c>
      <x:c r="S318" s="11" t="n">
        <x:f>IF(K318="Yes",(L318-J318)/30.4375,"")</x:f>
        <x:v>4.041067761806982</x:v>
      </x:c>
      <x:c r="T318" t="str">
        <x:f>IF(AND(K318="No",P318&lt;40,O318&lt;=4),"High Risk","")</x:f>
      </x:c>
    </x:row>
    <x:row r="319">
      <x:c r="A319" t="s">
        <x:v>376</x:v>
      </x:c>
      <x:c r="B319" t="s">
        <x:v>33</x:v>
      </x:c>
      <x:c r="C319" t="s">
        <x:v>20</x:v>
      </x:c>
      <x:c r="D319" t="s">
        <x:v>21</x:v>
      </x:c>
      <x:c r="E319" t="s">
        <x:v>46</x:v>
      </x:c>
      <x:c r="F319">
        <x:v>1</x:v>
      </x:c>
      <x:c r="G319">
        <x:v>29</x:v>
      </x:c>
      <x:c r="H319" t="s">
        <x:v>102</x:v>
      </x:c>
      <x:c r="I319" t="s">
        <x:v>73</x:v>
      </x:c>
      <x:c r="J319" s="1">
        <x:v>45694</x:v>
      </x:c>
      <x:c r="K319" t="s">
        <x:v>25</x:v>
      </x:c>
      <x:c r="L319" s="1">
        <x:v>45956</x:v>
      </x:c>
      <x:c r="M319" t="s">
        <x:v>60</x:v>
      </x:c>
      <x:c r="N319">
        <x:v>12</x:v>
      </x:c>
      <x:c r="O319">
        <x:v>3</x:v>
      </x:c>
      <x:c r="P319">
        <x:v>30</x:v>
      </x:c>
      <x:c r="Q319" t="s">
        <x:v>27</x:v>
      </x:c>
      <x:c r="R319" t="n">
        <x:f>IF(subscriptions[[#This Row],[churned]]="Yes",1,0)</x:f>
        <x:v>1</x:v>
      </x:c>
      <x:c r="S319" s="11" t="n">
        <x:f>IF(K319="Yes",(L319-J319)/30.4375,"")</x:f>
        <x:v>8.607802874743326</x:v>
      </x:c>
      <x:c r="T319" t="str">
        <x:f>IF(AND(K319="No",P319&lt;40,O319&lt;=4),"High Risk","")</x:f>
      </x:c>
    </x:row>
    <x:row r="320">
      <x:c r="A320" t="s">
        <x:v>377</x:v>
      </x:c>
      <x:c r="B320" t="s">
        <x:v>33</x:v>
      </x:c>
      <x:c r="C320" t="s">
        <x:v>29</x:v>
      </x:c>
      <x:c r="D320" t="s">
        <x:v>72</x:v>
      </x:c>
      <x:c r="E320" t="s">
        <x:v>22</x:v>
      </x:c>
      <x:c r="F320">
        <x:v>40</x:v>
      </x:c>
      <x:c r="G320">
        <x:v>168.85</x:v>
      </x:c>
      <x:c r="H320" t="s">
        <x:v>23</x:v>
      </x:c>
      <x:c r="I320" t="s">
        <x:v>41</x:v>
      </x:c>
      <x:c r="J320" s="1">
        <x:v>44758</x:v>
      </x:c>
      <x:c r="K320" t="s">
        <x:v>25</x:v>
      </x:c>
      <x:c r="L320" s="1">
        <x:v>44847</x:v>
      </x:c>
      <x:c r="M320" t="s">
        <x:v>54</x:v>
      </x:c>
      <x:c r="N320">
        <x:v>14</x:v>
      </x:c>
      <x:c r="O320">
        <x:v>4</x:v>
      </x:c>
      <x:c r="P320">
        <x:v>38</x:v>
      </x:c>
      <x:c r="Q320" t="s">
        <x:v>27</x:v>
      </x:c>
      <x:c r="R320" t="n">
        <x:f>IF(subscriptions[[#This Row],[churned]]="Yes",1,0)</x:f>
        <x:v>1</x:v>
      </x:c>
      <x:c r="S320" s="11" t="n">
        <x:f>IF(K320="Yes",(L320-J320)/30.4375,"")</x:f>
        <x:v>2.924024640657084</x:v>
      </x:c>
      <x:c r="T320" t="str">
        <x:f>IF(AND(K320="No",P320&lt;40,O320&lt;=4),"High Risk","")</x:f>
      </x:c>
    </x:row>
    <x:row r="321">
      <x:c r="A321" t="s">
        <x:v>378</x:v>
      </x:c>
      <x:c r="B321" t="s">
        <x:v>19</x:v>
      </x:c>
      <x:c r="C321" t="s">
        <x:v>29</x:v>
      </x:c>
      <x:c r="D321" t="s">
        <x:v>72</x:v>
      </x:c>
      <x:c r="E321" t="s">
        <x:v>22</x:v>
      </x:c>
      <x:c r="F321">
        <x:v>20</x:v>
      </x:c>
      <x:c r="G321">
        <x:v>258.52999999999997</x:v>
      </x:c>
      <x:c r="H321" t="s">
        <x:v>23</x:v>
      </x:c>
      <x:c r="I321" t="s">
        <x:v>41</x:v>
      </x:c>
      <x:c r="J321" s="1">
        <x:v>45279</x:v>
      </x:c>
      <x:c r="K321" t="s">
        <x:v>27</x:v>
      </x:c>
      <x:c r="M321"/>
      <x:c r="N321">
        <x:v>10</x:v>
      </x:c>
      <x:c r="O321">
        <x:v>9</x:v>
      </x:c>
      <x:c r="P321">
        <x:v>34</x:v>
      </x:c>
      <x:c r="Q321" t="s">
        <x:v>27</x:v>
      </x:c>
      <x:c r="R321" t="n">
        <x:f>IF(subscriptions[[#This Row],[churned]]="Yes",1,0)</x:f>
        <x:v>0</x:v>
      </x:c>
      <x:c r="S321" s="11" t="str">
        <x:f>IF(K321="Yes",(L321-J321)/30.4375,"")</x:f>
      </x:c>
      <x:c r="T321" t="str">
        <x:f>IF(AND(K321="No",P321&lt;40,O321&lt;=4),"High Risk","")</x:f>
      </x:c>
    </x:row>
    <x:row r="322">
      <x:c r="A322" t="s">
        <x:v>379</x:v>
      </x:c>
      <x:c r="B322" t="s">
        <x:v>19</x:v>
      </x:c>
      <x:c r="C322" t="s">
        <x:v>20</x:v>
      </x:c>
      <x:c r="D322" t="s">
        <x:v>66</x:v>
      </x:c>
      <x:c r="E322" t="s">
        <x:v>46</x:v>
      </x:c>
      <x:c r="F322">
        <x:v>2</x:v>
      </x:c>
      <x:c r="G322">
        <x:v>90.85</x:v>
      </x:c>
      <x:c r="H322" t="s">
        <x:v>23</x:v>
      </x:c>
      <x:c r="I322" t="s">
        <x:v>24</x:v>
      </x:c>
      <x:c r="J322" s="1">
        <x:v>45727</x:v>
      </x:c>
      <x:c r="K322" t="s">
        <x:v>25</x:v>
      </x:c>
      <x:c r="L322" s="1">
        <x:v>45777</x:v>
      </x:c>
      <x:c r="M322" t="s">
        <x:v>60</x:v>
      </x:c>
      <x:c r="N322">
        <x:v>8</x:v>
      </x:c>
      <x:c r="O322">
        <x:v>3</x:v>
      </x:c>
      <x:c r="P322">
        <x:v>15</x:v>
      </x:c>
      <x:c r="Q322" t="s">
        <x:v>27</x:v>
      </x:c>
      <x:c r="R322" t="n">
        <x:f>IF(subscriptions[[#This Row],[churned]]="Yes",1,0)</x:f>
        <x:v>1</x:v>
      </x:c>
      <x:c r="S322" s="11" t="n">
        <x:f>IF(K322="Yes",(L322-J322)/30.4375,"")</x:f>
        <x:v>1.6427104722792607</x:v>
      </x:c>
      <x:c r="T322" t="str">
        <x:f>IF(AND(K322="No",P322&lt;40,O322&lt;=4),"High Risk","")</x:f>
      </x:c>
    </x:row>
    <x:row r="323">
      <x:c r="A323" t="s">
        <x:v>380</x:v>
      </x:c>
      <x:c r="B323" t="s">
        <x:v>19</x:v>
      </x:c>
      <x:c r="C323" t="s">
        <x:v>29</x:v>
      </x:c>
      <x:c r="D323" t="s">
        <x:v>83</x:v>
      </x:c>
      <x:c r="E323" t="s">
        <x:v>22</x:v>
      </x:c>
      <x:c r="F323">
        <x:v>34</x:v>
      </x:c>
      <x:c r="G323">
        <x:v>399.54</x:v>
      </x:c>
      <x:c r="H323" t="s">
        <x:v>102</x:v>
      </x:c>
      <x:c r="I323" t="s">
        <x:v>24</x:v>
      </x:c>
      <x:c r="J323" s="1">
        <x:v>45579</x:v>
      </x:c>
      <x:c r="K323" t="s">
        <x:v>25</x:v>
      </x:c>
      <x:c r="L323" s="1">
        <x:v>45637</x:v>
      </x:c>
      <x:c r="M323" t="s">
        <x:v>86</x:v>
      </x:c>
      <x:c r="N323">
        <x:v>11</x:v>
      </x:c>
      <x:c r="O323">
        <x:v>6</x:v>
      </x:c>
      <x:c r="P323">
        <x:v>12</x:v>
      </x:c>
      <x:c r="Q323" t="s">
        <x:v>27</x:v>
      </x:c>
      <x:c r="R323" t="n">
        <x:f>IF(subscriptions[[#This Row],[churned]]="Yes",1,0)</x:f>
        <x:v>1</x:v>
      </x:c>
      <x:c r="S323" s="11" t="n">
        <x:f>IF(K323="Yes",(L323-J323)/30.4375,"")</x:f>
        <x:v>1.9055441478439425</x:v>
      </x:c>
      <x:c r="T323" t="str">
        <x:f>IF(AND(K323="No",P323&lt;40,O323&lt;=4),"High Risk","")</x:f>
      </x:c>
    </x:row>
    <x:row r="324">
      <x:c r="A324" t="s">
        <x:v>381</x:v>
      </x:c>
      <x:c r="B324" t="s">
        <x:v>38</x:v>
      </x:c>
      <x:c r="C324" t="s">
        <x:v>20</x:v>
      </x:c>
      <x:c r="D324" t="s">
        <x:v>53</x:v>
      </x:c>
      <x:c r="E324" t="s">
        <x:v>46</x:v>
      </x:c>
      <x:c r="F324">
        <x:v>7</x:v>
      </x:c>
      <x:c r="G324">
        <x:v>378.1</x:v>
      </x:c>
      <x:c r="H324" t="s">
        <x:v>36</x:v>
      </x:c>
      <x:c r="I324" t="s">
        <x:v>59</x:v>
      </x:c>
      <x:c r="J324" s="1">
        <x:v>45217</x:v>
      </x:c>
      <x:c r="K324" t="s">
        <x:v>27</x:v>
      </x:c>
      <x:c r="M324"/>
      <x:c r="N324">
        <x:v>5</x:v>
      </x:c>
      <x:c r="O324">
        <x:v>9</x:v>
      </x:c>
      <x:c r="P324">
        <x:v>55</x:v>
      </x:c>
      <x:c r="Q324" t="s">
        <x:v>27</x:v>
      </x:c>
      <x:c r="R324" t="n">
        <x:f>IF(subscriptions[[#This Row],[churned]]="Yes",1,0)</x:f>
        <x:v>0</x:v>
      </x:c>
      <x:c r="S324" s="11" t="str">
        <x:f>IF(K324="Yes",(L324-J324)/30.4375,"")</x:f>
      </x:c>
      <x:c r="T324" t="str">
        <x:f>IF(AND(K324="No",P324&lt;40,O324&lt;=4),"High Risk","")</x:f>
      </x:c>
    </x:row>
    <x:row r="325">
      <x:c r="A325" t="s">
        <x:v>382</x:v>
      </x:c>
      <x:c r="B325" t="s">
        <x:v>33</x:v>
      </x:c>
      <x:c r="C325" t="s">
        <x:v>29</x:v>
      </x:c>
      <x:c r="D325" t="s">
        <x:v>83</x:v>
      </x:c>
      <x:c r="E325" t="s">
        <x:v>22</x:v>
      </x:c>
      <x:c r="F325">
        <x:v>24</x:v>
      </x:c>
      <x:c r="G325">
        <x:v>109.69</x:v>
      </x:c>
      <x:c r="H325" t="s">
        <x:v>23</x:v>
      </x:c>
      <x:c r="I325" t="s">
        <x:v>24</x:v>
      </x:c>
      <x:c r="J325" s="1">
        <x:v>45973</x:v>
      </x:c>
      <x:c r="K325" t="s">
        <x:v>27</x:v>
      </x:c>
      <x:c r="M325"/>
      <x:c r="N325">
        <x:v>7</x:v>
      </x:c>
      <x:c r="O325">
        <x:v>2</x:v>
      </x:c>
      <x:c r="P325">
        <x:v>90</x:v>
      </x:c>
      <x:c r="Q325" t="s">
        <x:v>27</x:v>
      </x:c>
      <x:c r="R325" t="n">
        <x:f>IF(subscriptions[[#This Row],[churned]]="Yes",1,0)</x:f>
        <x:v>0</x:v>
      </x:c>
      <x:c r="S325" s="11" t="str">
        <x:f>IF(K325="Yes",(L325-J325)/30.4375,"")</x:f>
      </x:c>
      <x:c r="T325" t="str">
        <x:f>IF(AND(K325="No",P325&lt;40,O325&lt;=4),"High Risk","")</x:f>
      </x:c>
    </x:row>
    <x:row r="326">
      <x:c r="A326" t="s">
        <x:v>383</x:v>
      </x:c>
      <x:c r="B326" t="s">
        <x:v>19</x:v>
      </x:c>
      <x:c r="C326" t="s">
        <x:v>29</x:v>
      </x:c>
      <x:c r="D326" t="s">
        <x:v>45</x:v>
      </x:c>
      <x:c r="E326" t="s">
        <x:v>49</x:v>
      </x:c>
      <x:c r="F326">
        <x:v>105</x:v>
      </x:c>
      <x:c r="G326">
        <x:v>1114.69</x:v>
      </x:c>
      <x:c r="H326" t="s">
        <x:v>64</x:v>
      </x:c>
      <x:c r="I326" t="s">
        <x:v>41</x:v>
      </x:c>
      <x:c r="J326" s="1">
        <x:v>44648</x:v>
      </x:c>
      <x:c r="K326" t="s">
        <x:v>25</x:v>
      </x:c>
      <x:c r="L326" s="1">
        <x:v>45194</x:v>
      </x:c>
      <x:c r="M326" t="s">
        <x:v>57</x:v>
      </x:c>
      <x:c r="N326">
        <x:v>2</x:v>
      </x:c>
      <x:c r="O326">
        <x:v>1</x:v>
      </x:c>
      <x:c r="P326">
        <x:v>15</x:v>
      </x:c>
      <x:c r="Q326" t="s">
        <x:v>27</x:v>
      </x:c>
      <x:c r="R326" t="n">
        <x:f>IF(subscriptions[[#This Row],[churned]]="Yes",1,0)</x:f>
        <x:v>1</x:v>
      </x:c>
      <x:c r="S326" s="11" t="n">
        <x:f>IF(K326="Yes",(L326-J326)/30.4375,"")</x:f>
        <x:v>17.93839835728953</x:v>
      </x:c>
      <x:c r="T326" t="str">
        <x:f>IF(AND(K326="No",P326&lt;40,O326&lt;=4),"High Risk","")</x:f>
      </x:c>
    </x:row>
    <x:row r="327">
      <x:c r="A327" t="s">
        <x:v>384</x:v>
      </x:c>
      <x:c r="B327" t="s">
        <x:v>38</x:v>
      </x:c>
      <x:c r="C327" t="s">
        <x:v>29</x:v>
      </x:c>
      <x:c r="D327" t="s">
        <x:v>66</x:v>
      </x:c>
      <x:c r="E327" t="s">
        <x:v>40</x:v>
      </x:c>
      <x:c r="F327">
        <x:v>10</x:v>
      </x:c>
      <x:c r="G327">
        <x:v>397.5</x:v>
      </x:c>
      <x:c r="H327" t="s">
        <x:v>36</x:v>
      </x:c>
      <x:c r="I327" t="s">
        <x:v>24</x:v>
      </x:c>
      <x:c r="J327" s="1">
        <x:v>45676</x:v>
      </x:c>
      <x:c r="K327" t="s">
        <x:v>27</x:v>
      </x:c>
      <x:c r="M327"/>
      <x:c r="N327">
        <x:v>6</x:v>
      </x:c>
      <x:c r="O327">
        <x:v>9</x:v>
      </x:c>
      <x:c r="P327">
        <x:v>77</x:v>
      </x:c>
      <x:c r="Q327" t="s">
        <x:v>25</x:v>
      </x:c>
      <x:c r="R327" t="n">
        <x:f>IF(subscriptions[[#This Row],[churned]]="Yes",1,0)</x:f>
        <x:v>0</x:v>
      </x:c>
      <x:c r="S327" s="11" t="str">
        <x:f>IF(K327="Yes",(L327-J327)/30.4375,"")</x:f>
      </x:c>
      <x:c r="T327" t="str">
        <x:f>IF(AND(K327="No",P327&lt;40,O327&lt;=4),"High Risk","")</x:f>
      </x:c>
    </x:row>
    <x:row r="328">
      <x:c r="A328" t="s">
        <x:v>385</x:v>
      </x:c>
      <x:c r="B328" t="s">
        <x:v>19</x:v>
      </x:c>
      <x:c r="C328" t="s">
        <x:v>20</x:v>
      </x:c>
      <x:c r="D328" t="s">
        <x:v>83</x:v>
      </x:c>
      <x:c r="E328" t="s">
        <x:v>40</x:v>
      </x:c>
      <x:c r="F328">
        <x:v>15</x:v>
      </x:c>
      <x:c r="G328">
        <x:v>244.9</x:v>
      </x:c>
      <x:c r="H328" t="s">
        <x:v>36</x:v>
      </x:c>
      <x:c r="I328" t="s">
        <x:v>59</x:v>
      </x:c>
      <x:c r="J328" s="1">
        <x:v>44685</x:v>
      </x:c>
      <x:c r="K328" t="s">
        <x:v>25</x:v>
      </x:c>
      <x:c r="L328" s="1">
        <x:v>44737</x:v>
      </x:c>
      <x:c r="M328" t="s">
        <x:v>60</x:v>
      </x:c>
      <x:c r="N328">
        <x:v>14</x:v>
      </x:c>
      <x:c r="O328">
        <x:v>1</x:v>
      </x:c>
      <x:c r="P328">
        <x:v>15</x:v>
      </x:c>
      <x:c r="Q328" t="s">
        <x:v>27</x:v>
      </x:c>
      <x:c r="R328" t="n">
        <x:f>IF(subscriptions[[#This Row],[churned]]="Yes",1,0)</x:f>
        <x:v>1</x:v>
      </x:c>
      <x:c r="S328" s="11" t="n">
        <x:f>IF(K328="Yes",(L328-J328)/30.4375,"")</x:f>
        <x:v>1.7084188911704312</x:v>
      </x:c>
      <x:c r="T328" t="str">
        <x:f>IF(AND(K328="No",P328&lt;40,O328&lt;=4),"High Risk","")</x:f>
      </x:c>
    </x:row>
    <x:row r="329">
      <x:c r="A329" t="s">
        <x:v>386</x:v>
      </x:c>
      <x:c r="B329" t="s">
        <x:v>19</x:v>
      </x:c>
      <x:c r="C329" t="s">
        <x:v>20</x:v>
      </x:c>
      <x:c r="D329" t="s">
        <x:v>45</x:v>
      </x:c>
      <x:c r="E329" t="s">
        <x:v>40</x:v>
      </x:c>
      <x:c r="F329">
        <x:v>13</x:v>
      </x:c>
      <x:c r="G329">
        <x:v>221.2</x:v>
      </x:c>
      <x:c r="H329" t="s">
        <x:v>64</x:v>
      </x:c>
      <x:c r="I329" t="s">
        <x:v>41</x:v>
      </x:c>
      <x:c r="J329" s="1">
        <x:v>45534</x:v>
      </x:c>
      <x:c r="K329" t="s">
        <x:v>27</x:v>
      </x:c>
      <x:c r="M329"/>
      <x:c r="N329">
        <x:v>2</x:v>
      </x:c>
      <x:c r="O329">
        <x:v>4</x:v>
      </x:c>
      <x:c r="P329">
        <x:v>71</x:v>
      </x:c>
      <x:c r="Q329" t="s">
        <x:v>27</x:v>
      </x:c>
      <x:c r="R329" t="n">
        <x:f>IF(subscriptions[[#This Row],[churned]]="Yes",1,0)</x:f>
        <x:v>0</x:v>
      </x:c>
      <x:c r="S329" s="11" t="str">
        <x:f>IF(K329="Yes",(L329-J329)/30.4375,"")</x:f>
      </x:c>
      <x:c r="T329" t="str">
        <x:f>IF(AND(K329="No",P329&lt;40,O329&lt;=4),"High Risk","")</x:f>
      </x:c>
    </x:row>
    <x:row r="330">
      <x:c r="A330" t="s">
        <x:v>387</x:v>
      </x:c>
      <x:c r="B330" t="s">
        <x:v>33</x:v>
      </x:c>
      <x:c r="C330" t="s">
        <x:v>20</x:v>
      </x:c>
      <x:c r="D330" t="s">
        <x:v>72</x:v>
      </x:c>
      <x:c r="E330" t="s">
        <x:v>35</x:v>
      </x:c>
      <x:c r="F330">
        <x:v>297</x:v>
      </x:c>
      <x:c r="G330">
        <x:v>1316.6</x:v>
      </x:c>
      <x:c r="H330" t="s">
        <x:v>36</x:v>
      </x:c>
      <x:c r="I330" t="s">
        <x:v>73</x:v>
      </x:c>
      <x:c r="J330" s="1">
        <x:v>46002</x:v>
      </x:c>
      <x:c r="K330" t="s">
        <x:v>27</x:v>
      </x:c>
      <x:c r="M330"/>
      <x:c r="N330">
        <x:v>7</x:v>
      </x:c>
      <x:c r="O330">
        <x:v>4</x:v>
      </x:c>
      <x:c r="P330">
        <x:v>44</x:v>
      </x:c>
      <x:c r="Q330" t="s">
        <x:v>27</x:v>
      </x:c>
      <x:c r="R330" t="n">
        <x:f>IF(subscriptions[[#This Row],[churned]]="Yes",1,0)</x:f>
        <x:v>0</x:v>
      </x:c>
      <x:c r="S330" s="11" t="str">
        <x:f>IF(K330="Yes",(L330-J330)/30.4375,"")</x:f>
      </x:c>
      <x:c r="T330" t="str">
        <x:f>IF(AND(K330="No",P330&lt;40,O330&lt;=4),"High Risk","")</x:f>
      </x:c>
    </x:row>
    <x:row r="331">
      <x:c r="A331" t="s">
        <x:v>388</x:v>
      </x:c>
      <x:c r="B331" t="s">
        <x:v>19</x:v>
      </x:c>
      <x:c r="C331" t="s">
        <x:v>20</x:v>
      </x:c>
      <x:c r="D331" t="s">
        <x:v>21</x:v>
      </x:c>
      <x:c r="E331" t="s">
        <x:v>22</x:v>
      </x:c>
      <x:c r="F331">
        <x:v>51</x:v>
      </x:c>
      <x:c r="G331">
        <x:v>671.5</x:v>
      </x:c>
      <x:c r="H331" t="s">
        <x:v>30</x:v>
      </x:c>
      <x:c r="I331" t="s">
        <x:v>59</x:v>
      </x:c>
      <x:c r="J331" s="1">
        <x:v>45368</x:v>
      </x:c>
      <x:c r="K331" t="s">
        <x:v>27</x:v>
      </x:c>
      <x:c r="M331"/>
      <x:c r="N331">
        <x:v>7</x:v>
      </x:c>
      <x:c r="O331">
        <x:v>4</x:v>
      </x:c>
      <x:c r="P331">
        <x:v>84</x:v>
      </x:c>
      <x:c r="Q331" t="s">
        <x:v>27</x:v>
      </x:c>
      <x:c r="R331" t="n">
        <x:f>IF(subscriptions[[#This Row],[churned]]="Yes",1,0)</x:f>
        <x:v>0</x:v>
      </x:c>
      <x:c r="S331" s="11" t="str">
        <x:f>IF(K331="Yes",(L331-J331)/30.4375,"")</x:f>
      </x:c>
      <x:c r="T331" t="str">
        <x:f>IF(AND(K331="No",P331&lt;40,O331&lt;=4),"High Risk","")</x:f>
      </x:c>
    </x:row>
    <x:row r="332">
      <x:c r="A332" t="s">
        <x:v>389</x:v>
      </x:c>
      <x:c r="B332" t="s">
        <x:v>19</x:v>
      </x:c>
      <x:c r="C332" t="s">
        <x:v>20</x:v>
      </x:c>
      <x:c r="D332" t="s">
        <x:v>66</x:v>
      </x:c>
      <x:c r="E332" t="s">
        <x:v>22</x:v>
      </x:c>
      <x:c r="F332">
        <x:v>30</x:v>
      </x:c>
      <x:c r="G332">
        <x:v>422.65</x:v>
      </x:c>
      <x:c r="H332" t="s">
        <x:v>102</x:v>
      </x:c>
      <x:c r="I332" t="s">
        <x:v>24</x:v>
      </x:c>
      <x:c r="J332" s="1">
        <x:v>45821</x:v>
      </x:c>
      <x:c r="K332" t="s">
        <x:v>27</x:v>
      </x:c>
      <x:c r="M332"/>
      <x:c r="N332">
        <x:v>11</x:v>
      </x:c>
      <x:c r="O332">
        <x:v>5</x:v>
      </x:c>
      <x:c r="P332">
        <x:v>60</x:v>
      </x:c>
      <x:c r="Q332" t="s">
        <x:v>27</x:v>
      </x:c>
      <x:c r="R332" t="n">
        <x:f>IF(subscriptions[[#This Row],[churned]]="Yes",1,0)</x:f>
        <x:v>0</x:v>
      </x:c>
      <x:c r="S332" s="11" t="str">
        <x:f>IF(K332="Yes",(L332-J332)/30.4375,"")</x:f>
      </x:c>
      <x:c r="T332" t="str">
        <x:f>IF(AND(K332="No",P332&lt;40,O332&lt;=4),"High Risk","")</x:f>
      </x:c>
    </x:row>
    <x:row r="333">
      <x:c r="A333" t="s">
        <x:v>390</x:v>
      </x:c>
      <x:c r="B333" t="s">
        <x:v>19</x:v>
      </x:c>
      <x:c r="C333" t="s">
        <x:v>20</x:v>
      </x:c>
      <x:c r="D333" t="s">
        <x:v>34</x:v>
      </x:c>
      <x:c r="E333" t="s">
        <x:v>22</x:v>
      </x:c>
      <x:c r="F333">
        <x:v>77</x:v>
      </x:c>
      <x:c r="G333">
        <x:v>979.6</x:v>
      </x:c>
      <x:c r="H333" t="s">
        <x:v>64</x:v>
      </x:c>
      <x:c r="I333" t="s">
        <x:v>24</x:v>
      </x:c>
      <x:c r="J333" s="1">
        <x:v>45724</x:v>
      </x:c>
      <x:c r="K333" t="s">
        <x:v>25</x:v>
      </x:c>
      <x:c r="L333" s="1">
        <x:v>45818</x:v>
      </x:c>
      <x:c r="M333" t="s">
        <x:v>57</x:v>
      </x:c>
      <x:c r="N333">
        <x:v>3</x:v>
      </x:c>
      <x:c r="O333">
        <x:v>2</x:v>
      </x:c>
      <x:c r="P333">
        <x:v>40</x:v>
      </x:c>
      <x:c r="Q333" t="s">
        <x:v>27</x:v>
      </x:c>
      <x:c r="R333" t="n">
        <x:f>IF(subscriptions[[#This Row],[churned]]="Yes",1,0)</x:f>
        <x:v>1</x:v>
      </x:c>
      <x:c r="S333" s="11" t="n">
        <x:f>IF(K333="Yes",(L333-J333)/30.4375,"")</x:f>
        <x:v>3.0882956878850103</x:v>
      </x:c>
      <x:c r="T333" t="str">
        <x:f>IF(AND(K333="No",P333&lt;40,O333&lt;=4),"High Risk","")</x:f>
      </x:c>
    </x:row>
    <x:row r="334">
      <x:c r="A334" t="s">
        <x:v>391</x:v>
      </x:c>
      <x:c r="B334" t="s">
        <x:v>19</x:v>
      </x:c>
      <x:c r="C334" t="s">
        <x:v>29</x:v>
      </x:c>
      <x:c r="D334" t="s">
        <x:v>66</x:v>
      </x:c>
      <x:c r="E334" t="s">
        <x:v>22</x:v>
      </x:c>
      <x:c r="F334">
        <x:v>18</x:v>
      </x:c>
      <x:c r="G334">
        <x:v>238.38</x:v>
      </x:c>
      <x:c r="H334" t="s">
        <x:v>36</x:v>
      </x:c>
      <x:c r="I334" t="s">
        <x:v>59</x:v>
      </x:c>
      <x:c r="J334" s="1">
        <x:v>45387</x:v>
      </x:c>
      <x:c r="K334" t="s">
        <x:v>25</x:v>
      </x:c>
      <x:c r="L334" s="1">
        <x:v>45936</x:v>
      </x:c>
      <x:c r="M334" t="s">
        <x:v>86</x:v>
      </x:c>
      <x:c r="N334">
        <x:v>14</x:v>
      </x:c>
      <x:c r="O334">
        <x:v>1</x:v>
      </x:c>
      <x:c r="P334">
        <x:v>33</x:v>
      </x:c>
      <x:c r="Q334" t="s">
        <x:v>27</x:v>
      </x:c>
      <x:c r="R334" t="n">
        <x:f>IF(subscriptions[[#This Row],[churned]]="Yes",1,0)</x:f>
        <x:v>1</x:v>
      </x:c>
      <x:c r="S334" s="11" t="n">
        <x:f>IF(K334="Yes",(L334-J334)/30.4375,"")</x:f>
        <x:v>18.036960985626283</x:v>
      </x:c>
      <x:c r="T334" t="str">
        <x:f>IF(AND(K334="No",P334&lt;40,O334&lt;=4),"High Risk","")</x:f>
      </x:c>
    </x:row>
    <x:row r="335">
      <x:c r="A335" t="s">
        <x:v>392</x:v>
      </x:c>
      <x:c r="B335" t="s">
        <x:v>33</x:v>
      </x:c>
      <x:c r="C335" t="s">
        <x:v>29</x:v>
      </x:c>
      <x:c r="D335" t="s">
        <x:v>34</x:v>
      </x:c>
      <x:c r="E335" t="s">
        <x:v>49</x:v>
      </x:c>
      <x:c r="F335">
        <x:v>85</x:v>
      </x:c>
      <x:c r="G335">
        <x:v>335.24</x:v>
      </x:c>
      <x:c r="H335" t="s">
        <x:v>23</x:v>
      </x:c>
      <x:c r="I335" t="s">
        <x:v>41</x:v>
      </x:c>
      <x:c r="J335" s="1">
        <x:v>45212</x:v>
      </x:c>
      <x:c r="K335" t="s">
        <x:v>25</x:v>
      </x:c>
      <x:c r="L335" s="1">
        <x:v>45313</x:v>
      </x:c>
      <x:c r="M335" t="s">
        <x:v>57</x:v>
      </x:c>
      <x:c r="N335">
        <x:v>8</x:v>
      </x:c>
      <x:c r="O335">
        <x:v>1</x:v>
      </x:c>
      <x:c r="P335">
        <x:v>35</x:v>
      </x:c>
      <x:c r="Q335" t="s">
        <x:v>27</x:v>
      </x:c>
      <x:c r="R335" t="n">
        <x:f>IF(subscriptions[[#This Row],[churned]]="Yes",1,0)</x:f>
        <x:v>1</x:v>
      </x:c>
      <x:c r="S335" s="11" t="n">
        <x:f>IF(K335="Yes",(L335-J335)/30.4375,"")</x:f>
        <x:v>3.3182751540041067</x:v>
      </x:c>
      <x:c r="T335" t="str">
        <x:f>IF(AND(K335="No",P335&lt;40,O335&lt;=4),"High Risk","")</x:f>
      </x:c>
    </x:row>
    <x:row r="336">
      <x:c r="A336" t="s">
        <x:v>393</x:v>
      </x:c>
      <x:c r="B336" t="s">
        <x:v>19</x:v>
      </x:c>
      <x:c r="C336" t="s">
        <x:v>20</x:v>
      </x:c>
      <x:c r="D336" t="s">
        <x:v>83</x:v>
      </x:c>
      <x:c r="E336" t="s">
        <x:v>40</x:v>
      </x:c>
      <x:c r="F336">
        <x:v>18</x:v>
      </x:c>
      <x:c r="G336">
        <x:v>280.45</x:v>
      </x:c>
      <x:c r="H336" t="s">
        <x:v>102</x:v>
      </x:c>
      <x:c r="I336" t="s">
        <x:v>24</x:v>
      </x:c>
      <x:c r="J336" s="1">
        <x:v>44811</x:v>
      </x:c>
      <x:c r="K336" t="s">
        <x:v>25</x:v>
      </x:c>
      <x:c r="L336" s="1">
        <x:v>45364</x:v>
      </x:c>
      <x:c r="M336" t="s">
        <x:v>67</x:v>
      </x:c>
      <x:c r="N336">
        <x:v>10</x:v>
      </x:c>
      <x:c r="O336">
        <x:v>1</x:v>
      </x:c>
      <x:c r="P336">
        <x:v>27</x:v>
      </x:c>
      <x:c r="Q336" t="s">
        <x:v>27</x:v>
      </x:c>
      <x:c r="R336" t="n">
        <x:f>IF(subscriptions[[#This Row],[churned]]="Yes",1,0)</x:f>
        <x:v>1</x:v>
      </x:c>
      <x:c r="S336" s="11" t="n">
        <x:f>IF(K336="Yes",(L336-J336)/30.4375,"")</x:f>
        <x:v>18.168377823408623</x:v>
      </x:c>
      <x:c r="T336" t="str">
        <x:f>IF(AND(K336="No",P336&lt;40,O336&lt;=4),"High Risk","")</x:f>
      </x:c>
    </x:row>
    <x:row r="337">
      <x:c r="A337" t="s">
        <x:v>394</x:v>
      </x:c>
      <x:c r="B337" t="s">
        <x:v>38</x:v>
      </x:c>
      <x:c r="C337" t="s">
        <x:v>29</x:v>
      </x:c>
      <x:c r="D337" t="s">
        <x:v>66</x:v>
      </x:c>
      <x:c r="E337" t="s">
        <x:v>46</x:v>
      </x:c>
      <x:c r="F337">
        <x:v>5</x:v>
      </x:c>
      <x:c r="G337">
        <x:v>270.64</x:v>
      </x:c>
      <x:c r="H337" t="s">
        <x:v>23</x:v>
      </x:c>
      <x:c r="I337" t="s">
        <x:v>41</x:v>
      </x:c>
      <x:c r="J337" s="1">
        <x:v>45121</x:v>
      </x:c>
      <x:c r="K337" t="s">
        <x:v>25</x:v>
      </x:c>
      <x:c r="L337" s="1">
        <x:v>45703</x:v>
      </x:c>
      <x:c r="M337" t="s">
        <x:v>60</x:v>
      </x:c>
      <x:c r="N337">
        <x:v>7</x:v>
      </x:c>
      <x:c r="O337">
        <x:v>1</x:v>
      </x:c>
      <x:c r="P337">
        <x:v>36</x:v>
      </x:c>
      <x:c r="Q337" t="s">
        <x:v>27</x:v>
      </x:c>
      <x:c r="R337" t="n">
        <x:f>IF(subscriptions[[#This Row],[churned]]="Yes",1,0)</x:f>
        <x:v>1</x:v>
      </x:c>
      <x:c r="S337" s="11" t="n">
        <x:f>IF(K337="Yes",(L337-J337)/30.4375,"")</x:f>
        <x:v>19.121149897330596</x:v>
      </x:c>
      <x:c r="T337" t="str">
        <x:f>IF(AND(K337="No",P337&lt;40,O337&lt;=4),"High Risk","")</x:f>
      </x:c>
    </x:row>
    <x:row r="338">
      <x:c r="A338" t="s">
        <x:v>395</x:v>
      </x:c>
      <x:c r="B338" t="s">
        <x:v>33</x:v>
      </x:c>
      <x:c r="C338" t="s">
        <x:v>20</x:v>
      </x:c>
      <x:c r="D338" t="s">
        <x:v>53</x:v>
      </x:c>
      <x:c r="E338" t="s">
        <x:v>22</x:v>
      </x:c>
      <x:c r="F338">
        <x:v>65</x:v>
      </x:c>
      <x:c r="G338">
        <x:v>307.39999999999998</x:v>
      </x:c>
      <x:c r="H338" t="s">
        <x:v>64</x:v>
      </x:c>
      <x:c r="I338" t="s">
        <x:v>73</x:v>
      </x:c>
      <x:c r="J338" s="1">
        <x:v>44887</x:v>
      </x:c>
      <x:c r="K338" t="s">
        <x:v>25</x:v>
      </x:c>
      <x:c r="L338" s="1">
        <x:v>45004</x:v>
      </x:c>
      <x:c r="M338" t="s">
        <x:v>26</x:v>
      </x:c>
      <x:c r="N338">
        <x:v>3</x:v>
      </x:c>
      <x:c r="O338">
        <x:v>1</x:v>
      </x:c>
      <x:c r="P338">
        <x:v>45</x:v>
      </x:c>
      <x:c r="Q338" t="s">
        <x:v>27</x:v>
      </x:c>
      <x:c r="R338" t="n">
        <x:f>IF(subscriptions[[#This Row],[churned]]="Yes",1,0)</x:f>
        <x:v>1</x:v>
      </x:c>
      <x:c r="S338" s="11" t="n">
        <x:f>IF(K338="Yes",(L338-J338)/30.4375,"")</x:f>
        <x:v>3.8439425051334704</x:v>
      </x:c>
      <x:c r="T338" t="str">
        <x:f>IF(AND(K338="No",P338&lt;40,O338&lt;=4),"High Risk","")</x:f>
      </x:c>
    </x:row>
    <x:row r="339">
      <x:c r="A339" t="s">
        <x:v>396</x:v>
      </x:c>
      <x:c r="B339" t="s">
        <x:v>33</x:v>
      </x:c>
      <x:c r="C339" t="s">
        <x:v>29</x:v>
      </x:c>
      <x:c r="D339" t="s">
        <x:v>45</x:v>
      </x:c>
      <x:c r="E339" t="s">
        <x:v>40</x:v>
      </x:c>
      <x:c r="F339">
        <x:v>26</x:v>
      </x:c>
      <x:c r="G339">
        <x:v>117.09</x:v>
      </x:c>
      <x:c r="H339" t="s">
        <x:v>36</x:v>
      </x:c>
      <x:c r="I339" t="s">
        <x:v>24</x:v>
      </x:c>
      <x:c r="J339" s="1">
        <x:v>45320</x:v>
      </x:c>
      <x:c r="K339" t="s">
        <x:v>27</x:v>
      </x:c>
      <x:c r="M339"/>
      <x:c r="N339">
        <x:v>4</x:v>
      </x:c>
      <x:c r="O339">
        <x:v>8</x:v>
      </x:c>
      <x:c r="P339">
        <x:v>42</x:v>
      </x:c>
      <x:c r="Q339" t="s">
        <x:v>25</x:v>
      </x:c>
      <x:c r="R339" t="n">
        <x:f>IF(subscriptions[[#This Row],[churned]]="Yes",1,0)</x:f>
        <x:v>0</x:v>
      </x:c>
      <x:c r="S339" s="11" t="str">
        <x:f>IF(K339="Yes",(L339-J339)/30.4375,"")</x:f>
      </x:c>
      <x:c r="T339" t="str">
        <x:f>IF(AND(K339="No",P339&lt;40,O339&lt;=4),"High Risk","")</x:f>
      </x:c>
    </x:row>
    <x:row r="340">
      <x:c r="A340" t="s">
        <x:v>397</x:v>
      </x:c>
      <x:c r="B340" t="s">
        <x:v>33</x:v>
      </x:c>
      <x:c r="C340" t="s">
        <x:v>20</x:v>
      </x:c>
      <x:c r="D340" t="s">
        <x:v>53</x:v>
      </x:c>
      <x:c r="E340" t="s">
        <x:v>46</x:v>
      </x:c>
      <x:c r="F340">
        <x:v>4</x:v>
      </x:c>
      <x:c r="G340">
        <x:v>42.05</x:v>
      </x:c>
      <x:c r="H340" t="s">
        <x:v>23</x:v>
      </x:c>
      <x:c r="I340" t="s">
        <x:v>24</x:v>
      </x:c>
      <x:c r="J340" s="1">
        <x:v>45440</x:v>
      </x:c>
      <x:c r="K340" t="s">
        <x:v>25</x:v>
      </x:c>
      <x:c r="L340" s="1">
        <x:v>45677</x:v>
      </x:c>
      <x:c r="M340" t="s">
        <x:v>26</x:v>
      </x:c>
      <x:c r="N340">
        <x:v>0</x:v>
      </x:c>
      <x:c r="O340">
        <x:v>4</x:v>
      </x:c>
      <x:c r="P340">
        <x:v>13</x:v>
      </x:c>
      <x:c r="Q340" t="s">
        <x:v>27</x:v>
      </x:c>
      <x:c r="R340" t="n">
        <x:f>IF(subscriptions[[#This Row],[churned]]="Yes",1,0)</x:f>
        <x:v>1</x:v>
      </x:c>
      <x:c r="S340" s="11" t="n">
        <x:f>IF(K340="Yes",(L340-J340)/30.4375,"")</x:f>
        <x:v>7.786447638603696</x:v>
      </x:c>
      <x:c r="T340" t="str">
        <x:f>IF(AND(K340="No",P340&lt;40,O340&lt;=4),"High Risk","")</x:f>
      </x:c>
    </x:row>
    <x:row r="341">
      <x:c r="A341" t="s">
        <x:v>398</x:v>
      </x:c>
      <x:c r="B341" t="s">
        <x:v>33</x:v>
      </x:c>
      <x:c r="C341" t="s">
        <x:v>29</x:v>
      </x:c>
      <x:c r="D341" t="s">
        <x:v>66</x:v>
      </x:c>
      <x:c r="E341" t="s">
        <x:v>49</x:v>
      </x:c>
      <x:c r="F341">
        <x:v>140</x:v>
      </x:c>
      <x:c r="G341">
        <x:v>538.6</x:v>
      </x:c>
      <x:c r="H341" t="s">
        <x:v>23</x:v>
      </x:c>
      <x:c r="I341" t="s">
        <x:v>41</x:v>
      </x:c>
      <x:c r="J341" s="1">
        <x:v>44742</x:v>
      </x:c>
      <x:c r="K341" t="s">
        <x:v>25</x:v>
      </x:c>
      <x:c r="L341" s="1">
        <x:v>44835</x:v>
      </x:c>
      <x:c r="M341" t="s">
        <x:v>57</x:v>
      </x:c>
      <x:c r="N341">
        <x:v>14</x:v>
      </x:c>
      <x:c r="O341">
        <x:v>2</x:v>
      </x:c>
      <x:c r="P341">
        <x:v>43</x:v>
      </x:c>
      <x:c r="Q341" t="s">
        <x:v>27</x:v>
      </x:c>
      <x:c r="R341" t="n">
        <x:f>IF(subscriptions[[#This Row],[churned]]="Yes",1,0)</x:f>
        <x:v>1</x:v>
      </x:c>
      <x:c r="S341" s="11" t="n">
        <x:f>IF(K341="Yes",(L341-J341)/30.4375,"")</x:f>
        <x:v>3.055441478439425</x:v>
      </x:c>
      <x:c r="T341" t="str">
        <x:f>IF(AND(K341="No",P341&lt;40,O341&lt;=4),"High Risk","")</x:f>
      </x:c>
    </x:row>
    <x:row r="342">
      <x:c r="A342" t="s">
        <x:v>399</x:v>
      </x:c>
      <x:c r="B342" t="s">
        <x:v>33</x:v>
      </x:c>
      <x:c r="C342" t="s">
        <x:v>20</x:v>
      </x:c>
      <x:c r="D342" t="s">
        <x:v>39</x:v>
      </x:c>
      <x:c r="E342" t="s">
        <x:v>49</x:v>
      </x:c>
      <x:c r="F342">
        <x:v>41</x:v>
      </x:c>
      <x:c r="G342">
        <x:v>203</x:v>
      </x:c>
      <x:c r="H342" t="s">
        <x:v>64</x:v>
      </x:c>
      <x:c r="I342" t="s">
        <x:v>24</x:v>
      </x:c>
      <x:c r="J342" s="1">
        <x:v>45735</x:v>
      </x:c>
      <x:c r="K342" t="s">
        <x:v>25</x:v>
      </x:c>
      <x:c r="L342" s="1">
        <x:v>45832</x:v>
      </x:c>
      <x:c r="M342" t="s">
        <x:v>67</x:v>
      </x:c>
      <x:c r="N342">
        <x:v>12</x:v>
      </x:c>
      <x:c r="O342">
        <x:v>1</x:v>
      </x:c>
      <x:c r="P342">
        <x:v>40</x:v>
      </x:c>
      <x:c r="Q342" t="s">
        <x:v>27</x:v>
      </x:c>
      <x:c r="R342" t="n">
        <x:f>IF(subscriptions[[#This Row],[churned]]="Yes",1,0)</x:f>
        <x:v>1</x:v>
      </x:c>
      <x:c r="S342" s="11" t="n">
        <x:f>IF(K342="Yes",(L342-J342)/30.4375,"")</x:f>
        <x:v>3.186858316221766</x:v>
      </x:c>
      <x:c r="T342" t="str">
        <x:f>IF(AND(K342="No",P342&lt;40,O342&lt;=4),"High Risk","")</x:f>
      </x:c>
    </x:row>
    <x:row r="343">
      <x:c r="A343" t="s">
        <x:v>400</x:v>
      </x:c>
      <x:c r="B343" t="s">
        <x:v>33</x:v>
      </x:c>
      <x:c r="C343" t="s">
        <x:v>29</x:v>
      </x:c>
      <x:c r="D343" t="s">
        <x:v>21</x:v>
      </x:c>
      <x:c r="E343" t="s">
        <x:v>49</x:v>
      </x:c>
      <x:c r="F343">
        <x:v>78</x:v>
      </x:c>
      <x:c r="G343">
        <x:v>309.36</x:v>
      </x:c>
      <x:c r="H343" t="s">
        <x:v>64</x:v>
      </x:c>
      <x:c r="I343" t="s">
        <x:v>41</x:v>
      </x:c>
      <x:c r="J343" s="1">
        <x:v>45519</x:v>
      </x:c>
      <x:c r="K343" t="s">
        <x:v>25</x:v>
      </x:c>
      <x:c r="L343" s="1">
        <x:v>45884</x:v>
      </x:c>
      <x:c r="M343" t="s">
        <x:v>54</x:v>
      </x:c>
      <x:c r="N343">
        <x:v>3</x:v>
      </x:c>
      <x:c r="O343">
        <x:v>1</x:v>
      </x:c>
      <x:c r="P343">
        <x:v>35</x:v>
      </x:c>
      <x:c r="Q343" t="s">
        <x:v>27</x:v>
      </x:c>
      <x:c r="R343" t="n">
        <x:f>IF(subscriptions[[#This Row],[churned]]="Yes",1,0)</x:f>
        <x:v>1</x:v>
      </x:c>
      <x:c r="S343" s="11" t="n">
        <x:f>IF(K343="Yes",(L343-J343)/30.4375,"")</x:f>
        <x:v>11.991786447638603</x:v>
      </x:c>
      <x:c r="T343" t="str">
        <x:f>IF(AND(K343="No",P343&lt;40,O343&lt;=4),"High Risk","")</x:f>
      </x:c>
    </x:row>
    <x:row r="344">
      <x:c r="A344" t="s">
        <x:v>401</x:v>
      </x:c>
      <x:c r="B344" t="s">
        <x:v>38</x:v>
      </x:c>
      <x:c r="C344" t="s">
        <x:v>29</x:v>
      </x:c>
      <x:c r="D344" t="s">
        <x:v>72</x:v>
      </x:c>
      <x:c r="E344" t="s">
        <x:v>40</x:v>
      </x:c>
      <x:c r="F344">
        <x:v>12</x:v>
      </x:c>
      <x:c r="G344">
        <x:v>448.25</x:v>
      </x:c>
      <x:c r="H344" t="s">
        <x:v>47</x:v>
      </x:c>
      <x:c r="I344" t="s">
        <x:v>73</x:v>
      </x:c>
      <x:c r="J344" s="1">
        <x:v>45069</x:v>
      </x:c>
      <x:c r="K344" t="s">
        <x:v>25</x:v>
      </x:c>
      <x:c r="L344" s="1">
        <x:v>45765</x:v>
      </x:c>
      <x:c r="M344" t="s">
        <x:v>67</x:v>
      </x:c>
      <x:c r="N344">
        <x:v>12</x:v>
      </x:c>
      <x:c r="O344">
        <x:v>6</x:v>
      </x:c>
      <x:c r="P344">
        <x:v>19</x:v>
      </x:c>
      <x:c r="Q344" t="s">
        <x:v>27</x:v>
      </x:c>
      <x:c r="R344" t="n">
        <x:f>IF(subscriptions[[#This Row],[churned]]="Yes",1,0)</x:f>
        <x:v>1</x:v>
      </x:c>
      <x:c r="S344" s="11" t="n">
        <x:f>IF(K344="Yes",(L344-J344)/30.4375,"")</x:f>
        <x:v>22.86652977412731</x:v>
      </x:c>
      <x:c r="T344" t="str">
        <x:f>IF(AND(K344="No",P344&lt;40,O344&lt;=4),"High Risk","")</x:f>
      </x:c>
    </x:row>
    <x:row r="345">
      <x:c r="A345" t="s">
        <x:v>402</x:v>
      </x:c>
      <x:c r="B345" t="s">
        <x:v>19</x:v>
      </x:c>
      <x:c r="C345" t="s">
        <x:v>20</x:v>
      </x:c>
      <x:c r="D345" t="s">
        <x:v>21</x:v>
      </x:c>
      <x:c r="E345" t="s">
        <x:v>40</x:v>
      </x:c>
      <x:c r="F345">
        <x:v>32</x:v>
      </x:c>
      <x:c r="G345">
        <x:v>446.35</x:v>
      </x:c>
      <x:c r="H345" t="s">
        <x:v>47</x:v>
      </x:c>
      <x:c r="I345" t="s">
        <x:v>59</x:v>
      </x:c>
      <x:c r="J345" s="1">
        <x:v>44703</x:v>
      </x:c>
      <x:c r="K345" t="s">
        <x:v>25</x:v>
      </x:c>
      <x:c r="L345" s="1">
        <x:v>45092</x:v>
      </x:c>
      <x:c r="M345" t="s">
        <x:v>60</x:v>
      </x:c>
      <x:c r="N345">
        <x:v>3</x:v>
      </x:c>
      <x:c r="O345">
        <x:v>3</x:v>
      </x:c>
      <x:c r="P345">
        <x:v>29</x:v>
      </x:c>
      <x:c r="Q345" t="s">
        <x:v>27</x:v>
      </x:c>
      <x:c r="R345" t="n">
        <x:f>IF(subscriptions[[#This Row],[churned]]="Yes",1,0)</x:f>
        <x:v>1</x:v>
      </x:c>
      <x:c r="S345" s="11" t="n">
        <x:f>IF(K345="Yes",(L345-J345)/30.4375,"")</x:f>
        <x:v>12.780287474332649</x:v>
      </x:c>
      <x:c r="T345" t="str">
        <x:f>IF(AND(K345="No",P345&lt;40,O345&lt;=4),"High Risk","")</x:f>
      </x:c>
    </x:row>
    <x:row r="346">
      <x:c r="A346" t="s">
        <x:v>403</x:v>
      </x:c>
      <x:c r="B346" t="s">
        <x:v>38</x:v>
      </x:c>
      <x:c r="C346" t="s">
        <x:v>29</x:v>
      </x:c>
      <x:c r="D346" t="s">
        <x:v>66</x:v>
      </x:c>
      <x:c r="E346" t="s">
        <x:v>46</x:v>
      </x:c>
      <x:c r="F346">
        <x:v>4</x:v>
      </x:c>
      <x:c r="G346">
        <x:v>245.27</x:v>
      </x:c>
      <x:c r="H346" t="s">
        <x:v>64</x:v>
      </x:c>
      <x:c r="I346" t="s">
        <x:v>41</x:v>
      </x:c>
      <x:c r="J346" s="1">
        <x:v>44830</x:v>
      </x:c>
      <x:c r="K346" t="s">
        <x:v>27</x:v>
      </x:c>
      <x:c r="M346"/>
      <x:c r="N346">
        <x:v>4</x:v>
      </x:c>
      <x:c r="O346">
        <x:v>2</x:v>
      </x:c>
      <x:c r="P346">
        <x:v>93</x:v>
      </x:c>
      <x:c r="Q346" t="s">
        <x:v>27</x:v>
      </x:c>
      <x:c r="R346" t="n">
        <x:f>IF(subscriptions[[#This Row],[churned]]="Yes",1,0)</x:f>
        <x:v>0</x:v>
      </x:c>
      <x:c r="S346" s="11" t="str">
        <x:f>IF(K346="Yes",(L346-J346)/30.4375,"")</x:f>
      </x:c>
      <x:c r="T346" t="str">
        <x:f>IF(AND(K346="No",P346&lt;40,O346&lt;=4),"High Risk","")</x:f>
      </x:c>
    </x:row>
    <x:row r="347">
      <x:c r="A347" t="s">
        <x:v>404</x:v>
      </x:c>
      <x:c r="B347" t="s">
        <x:v>38</x:v>
      </x:c>
      <x:c r="C347" t="s">
        <x:v>20</x:v>
      </x:c>
      <x:c r="D347" t="s">
        <x:v>66</x:v>
      </x:c>
      <x:c r="E347" t="s">
        <x:v>49</x:v>
      </x:c>
      <x:c r="F347">
        <x:v>126</x:v>
      </x:c>
      <x:c r="G347">
        <x:v>3930.25</x:v>
      </x:c>
      <x:c r="H347" t="s">
        <x:v>64</x:v>
      </x:c>
      <x:c r="I347" t="s">
        <x:v>24</x:v>
      </x:c>
      <x:c r="J347" s="1">
        <x:v>45979</x:v>
      </x:c>
      <x:c r="K347" t="s">
        <x:v>27</x:v>
      </x:c>
      <x:c r="M347"/>
      <x:c r="N347">
        <x:v>9</x:v>
      </x:c>
      <x:c r="O347">
        <x:v>8</x:v>
      </x:c>
      <x:c r="P347">
        <x:v>20</x:v>
      </x:c>
      <x:c r="Q347" t="s">
        <x:v>27</x:v>
      </x:c>
      <x:c r="R347" t="n">
        <x:f>IF(subscriptions[[#This Row],[churned]]="Yes",1,0)</x:f>
        <x:v>0</x:v>
      </x:c>
      <x:c r="S347" s="11" t="str">
        <x:f>IF(K347="Yes",(L347-J347)/30.4375,"")</x:f>
      </x:c>
      <x:c r="T347" t="str">
        <x:f>IF(AND(K347="No",P347&lt;40,O347&lt;=4),"High Risk","")</x:f>
      </x:c>
    </x:row>
    <x:row r="348">
      <x:c r="A348" t="s">
        <x:v>405</x:v>
      </x:c>
      <x:c r="B348" t="s">
        <x:v>19</x:v>
      </x:c>
      <x:c r="C348" t="s">
        <x:v>29</x:v>
      </x:c>
      <x:c r="D348" t="s">
        <x:v>53</x:v>
      </x:c>
      <x:c r="E348" t="s">
        <x:v>22</x:v>
      </x:c>
      <x:c r="F348">
        <x:v>17</x:v>
      </x:c>
      <x:c r="G348">
        <x:v>228.31</x:v>
      </x:c>
      <x:c r="H348" t="s">
        <x:v>23</x:v>
      </x:c>
      <x:c r="I348" t="s">
        <x:v>41</x:v>
      </x:c>
      <x:c r="J348" s="1">
        <x:v>45925</x:v>
      </x:c>
      <x:c r="K348" t="s">
        <x:v>27</x:v>
      </x:c>
      <x:c r="M348"/>
      <x:c r="N348">
        <x:v>5</x:v>
      </x:c>
      <x:c r="O348">
        <x:v>4</x:v>
      </x:c>
      <x:c r="P348">
        <x:v>21</x:v>
      </x:c>
      <x:c r="Q348" t="s">
        <x:v>27</x:v>
      </x:c>
      <x:c r="R348" t="n">
        <x:f>IF(subscriptions[[#This Row],[churned]]="Yes",1,0)</x:f>
        <x:v>0</x:v>
      </x:c>
      <x:c r="S348" s="11" t="str">
        <x:f>IF(K348="Yes",(L348-J348)/30.4375,"")</x:f>
      </x:c>
      <x:c r="T348" t="str">
        <x:f>IF(AND(K348="No",P348&lt;40,O348&lt;=4),"High Risk","")</x:f>
        <x:v>High Risk</x:v>
      </x:c>
    </x:row>
    <x:row r="349">
      <x:c r="A349" t="s">
        <x:v>406</x:v>
      </x:c>
      <x:c r="B349" t="s">
        <x:v>38</x:v>
      </x:c>
      <x:c r="C349" t="s">
        <x:v>20</x:v>
      </x:c>
      <x:c r="D349" t="s">
        <x:v>45</x:v>
      </x:c>
      <x:c r="E349" t="s">
        <x:v>22</x:v>
      </x:c>
      <x:c r="F349">
        <x:v>73</x:v>
      </x:c>
      <x:c r="G349">
        <x:v>2348.1999999999998</x:v>
      </x:c>
      <x:c r="H349" t="s">
        <x:v>23</x:v>
      </x:c>
      <x:c r="I349" t="s">
        <x:v>59</x:v>
      </x:c>
      <x:c r="J349" s="1">
        <x:v>45813</x:v>
      </x:c>
      <x:c r="K349" t="s">
        <x:v>27</x:v>
      </x:c>
      <x:c r="M349"/>
      <x:c r="N349">
        <x:v>9</x:v>
      </x:c>
      <x:c r="O349">
        <x:v>5</x:v>
      </x:c>
      <x:c r="P349">
        <x:v>74</x:v>
      </x:c>
      <x:c r="Q349" t="s">
        <x:v>27</x:v>
      </x:c>
      <x:c r="R349" t="n">
        <x:f>IF(subscriptions[[#This Row],[churned]]="Yes",1,0)</x:f>
        <x:v>0</x:v>
      </x:c>
      <x:c r="S349" s="11" t="str">
        <x:f>IF(K349="Yes",(L349-J349)/30.4375,"")</x:f>
      </x:c>
      <x:c r="T349" t="str">
        <x:f>IF(AND(K349="No",P349&lt;40,O349&lt;=4),"High Risk","")</x:f>
      </x:c>
    </x:row>
    <x:row r="350">
      <x:c r="A350" t="s">
        <x:v>407</x:v>
      </x:c>
      <x:c r="B350" t="s">
        <x:v>38</x:v>
      </x:c>
      <x:c r="C350" t="s">
        <x:v>29</x:v>
      </x:c>
      <x:c r="D350" t="s">
        <x:v>72</x:v>
      </x:c>
      <x:c r="E350" t="s">
        <x:v>40</x:v>
      </x:c>
      <x:c r="F350">
        <x:v>29</x:v>
      </x:c>
      <x:c r="G350">
        <x:v>879.58</x:v>
      </x:c>
      <x:c r="H350" t="s">
        <x:v>64</x:v>
      </x:c>
      <x:c r="I350" t="s">
        <x:v>24</x:v>
      </x:c>
      <x:c r="J350" s="1">
        <x:v>45457</x:v>
      </x:c>
      <x:c r="K350" t="s">
        <x:v>27</x:v>
      </x:c>
      <x:c r="M350"/>
      <x:c r="N350">
        <x:v>7</x:v>
      </x:c>
      <x:c r="O350">
        <x:v>10</x:v>
      </x:c>
      <x:c r="P350">
        <x:v>33</x:v>
      </x:c>
      <x:c r="Q350" t="s">
        <x:v>27</x:v>
      </x:c>
      <x:c r="R350" t="n">
        <x:f>IF(subscriptions[[#This Row],[churned]]="Yes",1,0)</x:f>
        <x:v>0</x:v>
      </x:c>
      <x:c r="S350" s="11" t="str">
        <x:f>IF(K350="Yes",(L350-J350)/30.4375,"")</x:f>
      </x:c>
      <x:c r="T350" t="str">
        <x:f>IF(AND(K350="No",P350&lt;40,O350&lt;=4),"High Risk","")</x:f>
      </x:c>
    </x:row>
    <x:row r="351">
      <x:c r="A351" t="s">
        <x:v>408</x:v>
      </x:c>
      <x:c r="B351" t="s">
        <x:v>19</x:v>
      </x:c>
      <x:c r="C351" t="s">
        <x:v>20</x:v>
      </x:c>
      <x:c r="D351" t="s">
        <x:v>53</x:v>
      </x:c>
      <x:c r="E351" t="s">
        <x:v>22</x:v>
      </x:c>
      <x:c r="F351">
        <x:v>59</x:v>
      </x:c>
      <x:c r="G351">
        <x:v>766.3</x:v>
      </x:c>
      <x:c r="H351" t="s">
        <x:v>102</x:v>
      </x:c>
      <x:c r="I351" t="s">
        <x:v>24</x:v>
      </x:c>
      <x:c r="J351" s="1">
        <x:v>44619</x:v>
      </x:c>
      <x:c r="K351" t="s">
        <x:v>25</x:v>
      </x:c>
      <x:c r="L351" s="1">
        <x:v>44837</x:v>
      </x:c>
      <x:c r="M351" t="s">
        <x:v>54</x:v>
      </x:c>
      <x:c r="N351">
        <x:v>6</x:v>
      </x:c>
      <x:c r="O351">
        <x:v>2</x:v>
      </x:c>
      <x:c r="P351">
        <x:v>21</x:v>
      </x:c>
      <x:c r="Q351" t="s">
        <x:v>27</x:v>
      </x:c>
      <x:c r="R351" t="n">
        <x:f>IF(subscriptions[[#This Row],[churned]]="Yes",1,0)</x:f>
        <x:v>1</x:v>
      </x:c>
      <x:c r="S351" s="11" t="n">
        <x:f>IF(K351="Yes",(L351-J351)/30.4375,"")</x:f>
        <x:v>7.162217659137577</x:v>
      </x:c>
      <x:c r="T351" t="str">
        <x:f>IF(AND(K351="No",P351&lt;40,O351&lt;=4),"High Risk","")</x:f>
      </x:c>
    </x:row>
    <x:row r="352">
      <x:c r="A352" t="s">
        <x:v>409</x:v>
      </x:c>
      <x:c r="B352" t="s">
        <x:v>33</x:v>
      </x:c>
      <x:c r="C352" t="s">
        <x:v>29</x:v>
      </x:c>
      <x:c r="D352" t="s">
        <x:v>21</x:v>
      </x:c>
      <x:c r="E352" t="s">
        <x:v>46</x:v>
      </x:c>
      <x:c r="F352">
        <x:v>4</x:v>
      </x:c>
      <x:c r="G352">
        <x:v>35.74</x:v>
      </x:c>
      <x:c r="H352" t="s">
        <x:v>64</x:v>
      </x:c>
      <x:c r="I352" t="s">
        <x:v>24</x:v>
      </x:c>
      <x:c r="J352" s="1">
        <x:v>45494</x:v>
      </x:c>
      <x:c r="K352" t="s">
        <x:v>25</x:v>
      </x:c>
      <x:c r="L352" s="1">
        <x:v>45629</x:v>
      </x:c>
      <x:c r="M352" t="s">
        <x:v>86</x:v>
      </x:c>
      <x:c r="N352">
        <x:v>8</x:v>
      </x:c>
      <x:c r="O352">
        <x:v>6</x:v>
      </x:c>
      <x:c r="P352">
        <x:v>47</x:v>
      </x:c>
      <x:c r="Q352" t="s">
        <x:v>27</x:v>
      </x:c>
      <x:c r="R352" t="n">
        <x:f>IF(subscriptions[[#This Row],[churned]]="Yes",1,0)</x:f>
        <x:v>1</x:v>
      </x:c>
      <x:c r="S352" s="11" t="n">
        <x:f>IF(K352="Yes",(L352-J352)/30.4375,"")</x:f>
        <x:v>4.435318275154004</x:v>
      </x:c>
      <x:c r="T352" t="str">
        <x:f>IF(AND(K352="No",P352&lt;40,O352&lt;=4),"High Risk","")</x:f>
      </x:c>
    </x:row>
    <x:row r="353">
      <x:c r="A353" t="s">
        <x:v>410</x:v>
      </x:c>
      <x:c r="B353" t="s">
        <x:v>33</x:v>
      </x:c>
      <x:c r="C353" t="s">
        <x:v>20</x:v>
      </x:c>
      <x:c r="D353" t="s">
        <x:v>66</x:v>
      </x:c>
      <x:c r="E353" t="s">
        <x:v>35</x:v>
      </x:c>
      <x:c r="F353">
        <x:v>130</x:v>
      </x:c>
      <x:c r="G353">
        <x:v>590.15</x:v>
      </x:c>
      <x:c r="H353" t="s">
        <x:v>36</x:v>
      </x:c>
      <x:c r="I353" t="s">
        <x:v>41</x:v>
      </x:c>
      <x:c r="J353" s="1">
        <x:v>45125</x:v>
      </x:c>
      <x:c r="K353" t="s">
        <x:v>25</x:v>
      </x:c>
      <x:c r="L353" s="1">
        <x:v>45423</x:v>
      </x:c>
      <x:c r="M353" t="s">
        <x:v>57</x:v>
      </x:c>
      <x:c r="N353">
        <x:v>5</x:v>
      </x:c>
      <x:c r="O353">
        <x:v>4</x:v>
      </x:c>
      <x:c r="P353">
        <x:v>23</x:v>
      </x:c>
      <x:c r="Q353" t="s">
        <x:v>27</x:v>
      </x:c>
      <x:c r="R353" t="n">
        <x:f>IF(subscriptions[[#This Row],[churned]]="Yes",1,0)</x:f>
        <x:v>1</x:v>
      </x:c>
      <x:c r="S353" s="11" t="n">
        <x:f>IF(K353="Yes",(L353-J353)/30.4375,"")</x:f>
        <x:v>9.790554414784394</x:v>
      </x:c>
      <x:c r="T353" t="str">
        <x:f>IF(AND(K353="No",P353&lt;40,O353&lt;=4),"High Risk","")</x:f>
      </x:c>
    </x:row>
    <x:row r="354">
      <x:c r="A354" t="s">
        <x:v>411</x:v>
      </x:c>
      <x:c r="B354" t="s">
        <x:v>38</x:v>
      </x:c>
      <x:c r="C354" t="s">
        <x:v>29</x:v>
      </x:c>
      <x:c r="D354" t="s">
        <x:v>56</x:v>
      </x:c>
      <x:c r="E354" t="s">
        <x:v>49</x:v>
      </x:c>
      <x:c r="F354">
        <x:v>61</x:v>
      </x:c>
      <x:c r="G354">
        <x:v>1691.5</x:v>
      </x:c>
      <x:c r="H354" t="s">
        <x:v>102</x:v>
      </x:c>
      <x:c r="I354" t="s">
        <x:v>41</x:v>
      </x:c>
      <x:c r="J354" s="1">
        <x:v>45749</x:v>
      </x:c>
      <x:c r="K354" t="s">
        <x:v>25</x:v>
      </x:c>
      <x:c r="L354" s="1">
        <x:v>45793</x:v>
      </x:c>
      <x:c r="M354" t="s">
        <x:v>86</x:v>
      </x:c>
      <x:c r="N354">
        <x:v>15</x:v>
      </x:c>
      <x:c r="O354">
        <x:v>5</x:v>
      </x:c>
      <x:c r="P354">
        <x:v>33</x:v>
      </x:c>
      <x:c r="Q354" t="s">
        <x:v>27</x:v>
      </x:c>
      <x:c r="R354" t="n">
        <x:f>IF(subscriptions[[#This Row],[churned]]="Yes",1,0)</x:f>
        <x:v>1</x:v>
      </x:c>
      <x:c r="S354" s="11" t="n">
        <x:f>IF(K354="Yes",(L354-J354)/30.4375,"")</x:f>
        <x:v>1.4455852156057496</x:v>
      </x:c>
      <x:c r="T354" t="str">
        <x:f>IF(AND(K354="No",P354&lt;40,O354&lt;=4),"High Risk","")</x:f>
      </x:c>
    </x:row>
    <x:row r="355">
      <x:c r="A355" t="s">
        <x:v>412</x:v>
      </x:c>
      <x:c r="B355" t="s">
        <x:v>38</x:v>
      </x:c>
      <x:c r="C355" t="s">
        <x:v>29</x:v>
      </x:c>
      <x:c r="D355" t="s">
        <x:v>34</x:v>
      </x:c>
      <x:c r="E355" t="s">
        <x:v>46</x:v>
      </x:c>
      <x:c r="F355">
        <x:v>8</x:v>
      </x:c>
      <x:c r="G355">
        <x:v>346.76</x:v>
      </x:c>
      <x:c r="H355" t="s">
        <x:v>36</x:v>
      </x:c>
      <x:c r="I355" t="s">
        <x:v>24</x:v>
      </x:c>
      <x:c r="J355" s="1">
        <x:v>44737</x:v>
      </x:c>
      <x:c r="K355" t="s">
        <x:v>25</x:v>
      </x:c>
      <x:c r="L355" s="1">
        <x:v>45655</x:v>
      </x:c>
      <x:c r="M355" t="s">
        <x:v>50</x:v>
      </x:c>
      <x:c r="N355">
        <x:v>10</x:v>
      </x:c>
      <x:c r="O355">
        <x:v>6</x:v>
      </x:c>
      <x:c r="P355">
        <x:v>30</x:v>
      </x:c>
      <x:c r="Q355" t="s">
        <x:v>27</x:v>
      </x:c>
      <x:c r="R355" t="n">
        <x:f>IF(subscriptions[[#This Row],[churned]]="Yes",1,0)</x:f>
        <x:v>1</x:v>
      </x:c>
      <x:c r="S355" s="11" t="n">
        <x:f>IF(K355="Yes",(L355-J355)/30.4375,"")</x:f>
        <x:v>30.16016427104723</x:v>
      </x:c>
      <x:c r="T355" t="str">
        <x:f>IF(AND(K355="No",P355&lt;40,O355&lt;=4),"High Risk","")</x:f>
      </x:c>
    </x:row>
    <x:row r="356">
      <x:c r="A356" t="s">
        <x:v>413</x:v>
      </x:c>
      <x:c r="B356" t="s">
        <x:v>33</x:v>
      </x:c>
      <x:c r="C356" t="s">
        <x:v>29</x:v>
      </x:c>
      <x:c r="D356" t="s">
        <x:v>56</x:v>
      </x:c>
      <x:c r="E356" t="s">
        <x:v>22</x:v>
      </x:c>
      <x:c r="F356">
        <x:v>43</x:v>
      </x:c>
      <x:c r="G356">
        <x:v>179.94</x:v>
      </x:c>
      <x:c r="H356" t="s">
        <x:v>23</x:v>
      </x:c>
      <x:c r="I356" t="s">
        <x:v>24</x:v>
      </x:c>
      <x:c r="J356" s="1">
        <x:v>45592</x:v>
      </x:c>
      <x:c r="K356" t="s">
        <x:v>27</x:v>
      </x:c>
      <x:c r="M356"/>
      <x:c r="N356">
        <x:v>3</x:v>
      </x:c>
      <x:c r="O356">
        <x:v>3</x:v>
      </x:c>
      <x:c r="P356">
        <x:v>63</x:v>
      </x:c>
      <x:c r="Q356" t="s">
        <x:v>27</x:v>
      </x:c>
      <x:c r="R356" t="n">
        <x:f>IF(subscriptions[[#This Row],[churned]]="Yes",1,0)</x:f>
        <x:v>0</x:v>
      </x:c>
      <x:c r="S356" s="11" t="str">
        <x:f>IF(K356="Yes",(L356-J356)/30.4375,"")</x:f>
      </x:c>
      <x:c r="T356" t="str">
        <x:f>IF(AND(K356="No",P356&lt;40,O356&lt;=4),"High Risk","")</x:f>
      </x:c>
    </x:row>
    <x:row r="357">
      <x:c r="A357" t="s">
        <x:v>414</x:v>
      </x:c>
      <x:c r="B357" t="s">
        <x:v>33</x:v>
      </x:c>
      <x:c r="C357" t="s">
        <x:v>29</x:v>
      </x:c>
      <x:c r="D357" t="s">
        <x:v>53</x:v>
      </x:c>
      <x:c r="E357" t="s">
        <x:v>40</x:v>
      </x:c>
      <x:c r="F357">
        <x:v>6</x:v>
      </x:c>
      <x:c r="G357">
        <x:v>43.14</x:v>
      </x:c>
      <x:c r="H357" t="s">
        <x:v>23</x:v>
      </x:c>
      <x:c r="I357" t="s">
        <x:v>24</x:v>
      </x:c>
      <x:c r="J357" s="1">
        <x:v>44817</x:v>
      </x:c>
      <x:c r="K357" t="s">
        <x:v>25</x:v>
      </x:c>
      <x:c r="L357" s="1">
        <x:v>44870</x:v>
      </x:c>
      <x:c r="M357" t="s">
        <x:v>50</x:v>
      </x:c>
      <x:c r="N357">
        <x:v>15</x:v>
      </x:c>
      <x:c r="O357">
        <x:v>3</x:v>
      </x:c>
      <x:c r="P357">
        <x:v>46</x:v>
      </x:c>
      <x:c r="Q357" t="s">
        <x:v>27</x:v>
      </x:c>
      <x:c r="R357" t="n">
        <x:f>IF(subscriptions[[#This Row],[churned]]="Yes",1,0)</x:f>
        <x:v>1</x:v>
      </x:c>
      <x:c r="S357" s="11" t="n">
        <x:f>IF(K357="Yes",(L357-J357)/30.4375,"")</x:f>
        <x:v>1.7412731006160165</x:v>
      </x:c>
      <x:c r="T357" t="str">
        <x:f>IF(AND(K357="No",P357&lt;40,O357&lt;=4),"High Risk","")</x:f>
      </x:c>
    </x:row>
    <x:row r="358">
      <x:c r="A358" t="s">
        <x:v>415</x:v>
      </x:c>
      <x:c r="B358" t="s">
        <x:v>33</x:v>
      </x:c>
      <x:c r="C358" t="s">
        <x:v>29</x:v>
      </x:c>
      <x:c r="D358" t="s">
        <x:v>56</x:v>
      </x:c>
      <x:c r="E358" t="s">
        <x:v>49</x:v>
      </x:c>
      <x:c r="F358">
        <x:v>92</x:v>
      </x:c>
      <x:c r="G358">
        <x:v>361.12</x:v>
      </x:c>
      <x:c r="H358" t="s">
        <x:v>23</x:v>
      </x:c>
      <x:c r="I358" t="s">
        <x:v>24</x:v>
      </x:c>
      <x:c r="J358" s="1">
        <x:v>44949</x:v>
      </x:c>
      <x:c r="K358" t="s">
        <x:v>25</x:v>
      </x:c>
      <x:c r="L358" s="1">
        <x:v>45080</x:v>
      </x:c>
      <x:c r="M358" t="s">
        <x:v>86</x:v>
      </x:c>
      <x:c r="N358">
        <x:v>13</x:v>
      </x:c>
      <x:c r="O358">
        <x:v>1</x:v>
      </x:c>
      <x:c r="P358">
        <x:v>38</x:v>
      </x:c>
      <x:c r="Q358" t="s">
        <x:v>27</x:v>
      </x:c>
      <x:c r="R358" t="n">
        <x:f>IF(subscriptions[[#This Row],[churned]]="Yes",1,0)</x:f>
        <x:v>1</x:v>
      </x:c>
      <x:c r="S358" s="11" t="n">
        <x:f>IF(K358="Yes",(L358-J358)/30.4375,"")</x:f>
        <x:v>4.303901437371663</x:v>
      </x:c>
      <x:c r="T358" t="str">
        <x:f>IF(AND(K358="No",P358&lt;40,O358&lt;=4),"High Risk","")</x:f>
      </x:c>
    </x:row>
    <x:row r="359">
      <x:c r="A359" t="s">
        <x:v>416</x:v>
      </x:c>
      <x:c r="B359" t="s">
        <x:v>33</x:v>
      </x:c>
      <x:c r="C359" t="s">
        <x:v>29</x:v>
      </x:c>
      <x:c r="D359" t="s">
        <x:v>83</x:v>
      </x:c>
      <x:c r="E359" t="s">
        <x:v>22</x:v>
      </x:c>
      <x:c r="F359">
        <x:v>30</x:v>
      </x:c>
      <x:c r="G359">
        <x:v>131.88</x:v>
      </x:c>
      <x:c r="H359" t="s">
        <x:v>47</x:v>
      </x:c>
      <x:c r="I359" t="s">
        <x:v>41</x:v>
      </x:c>
      <x:c r="J359" s="1">
        <x:v>45712</x:v>
      </x:c>
      <x:c r="K359" t="s">
        <x:v>27</x:v>
      </x:c>
      <x:c r="M359"/>
      <x:c r="N359">
        <x:v>1</x:v>
      </x:c>
      <x:c r="O359">
        <x:v>7</x:v>
      </x:c>
      <x:c r="P359">
        <x:v>39</x:v>
      </x:c>
      <x:c r="Q359" t="s">
        <x:v>27</x:v>
      </x:c>
      <x:c r="R359" t="n">
        <x:f>IF(subscriptions[[#This Row],[churned]]="Yes",1,0)</x:f>
        <x:v>0</x:v>
      </x:c>
      <x:c r="S359" s="11" t="str">
        <x:f>IF(K359="Yes",(L359-J359)/30.4375,"")</x:f>
      </x:c>
      <x:c r="T359" t="str">
        <x:f>IF(AND(K359="No",P359&lt;40,O359&lt;=4),"High Risk","")</x:f>
      </x:c>
    </x:row>
    <x:row r="360">
      <x:c r="A360" t="s">
        <x:v>417</x:v>
      </x:c>
      <x:c r="B360" t="s">
        <x:v>38</x:v>
      </x:c>
      <x:c r="C360" t="s">
        <x:v>20</x:v>
      </x:c>
      <x:c r="D360" t="s">
        <x:v>56</x:v>
      </x:c>
      <x:c r="E360" t="s">
        <x:v>49</x:v>
      </x:c>
      <x:c r="F360">
        <x:v>118</x:v>
      </x:c>
      <x:c r="G360">
        <x:v>3691.45</x:v>
      </x:c>
      <x:c r="H360" t="s">
        <x:v>30</x:v>
      </x:c>
      <x:c r="I360" t="s">
        <x:v>59</x:v>
      </x:c>
      <x:c r="J360" s="1">
        <x:v>45841</x:v>
      </x:c>
      <x:c r="K360" t="s">
        <x:v>27</x:v>
      </x:c>
      <x:c r="M360"/>
      <x:c r="N360">
        <x:v>10</x:v>
      </x:c>
      <x:c r="O360">
        <x:v>5</x:v>
      </x:c>
      <x:c r="P360">
        <x:v>87</x:v>
      </x:c>
      <x:c r="Q360" t="s">
        <x:v>27</x:v>
      </x:c>
      <x:c r="R360" t="n">
        <x:f>IF(subscriptions[[#This Row],[churned]]="Yes",1,0)</x:f>
        <x:v>0</x:v>
      </x:c>
      <x:c r="S360" s="11" t="str">
        <x:f>IF(K360="Yes",(L360-J360)/30.4375,"")</x:f>
      </x:c>
      <x:c r="T360" t="str">
        <x:f>IF(AND(K360="No",P360&lt;40,O360&lt;=4),"High Risk","")</x:f>
      </x:c>
    </x:row>
    <x:row r="361">
      <x:c r="A361" t="s">
        <x:v>418</x:v>
      </x:c>
      <x:c r="B361" t="s">
        <x:v>33</x:v>
      </x:c>
      <x:c r="C361" t="s">
        <x:v>29</x:v>
      </x:c>
      <x:c r="D361" t="s">
        <x:v>83</x:v>
      </x:c>
      <x:c r="E361" t="s">
        <x:v>46</x:v>
      </x:c>
      <x:c r="F361">
        <x:v>2</x:v>
      </x:c>
      <x:c r="G361">
        <x:v>28.35</x:v>
      </x:c>
      <x:c r="H361" t="s">
        <x:v>102</x:v>
      </x:c>
      <x:c r="I361" t="s">
        <x:v>41</x:v>
      </x:c>
      <x:c r="J361" s="1">
        <x:v>44780</x:v>
      </x:c>
      <x:c r="K361" t="s">
        <x:v>27</x:v>
      </x:c>
      <x:c r="M361"/>
      <x:c r="N361">
        <x:v>11</x:v>
      </x:c>
      <x:c r="O361">
        <x:v>6</x:v>
      </x:c>
      <x:c r="P361">
        <x:v>20</x:v>
      </x:c>
      <x:c r="Q361" t="s">
        <x:v>27</x:v>
      </x:c>
      <x:c r="R361" t="n">
        <x:f>IF(subscriptions[[#This Row],[churned]]="Yes",1,0)</x:f>
        <x:v>0</x:v>
      </x:c>
      <x:c r="S361" s="11" t="str">
        <x:f>IF(K361="Yes",(L361-J361)/30.4375,"")</x:f>
      </x:c>
      <x:c r="T361" t="str">
        <x:f>IF(AND(K361="No",P361&lt;40,O361&lt;=4),"High Risk","")</x:f>
      </x:c>
    </x:row>
    <x:row r="362">
      <x:c r="A362" t="s">
        <x:v>419</x:v>
      </x:c>
      <x:c r="B362" t="s">
        <x:v>19</x:v>
      </x:c>
      <x:c r="C362" t="s">
        <x:v>29</x:v>
      </x:c>
      <x:c r="D362" t="s">
        <x:v>21</x:v>
      </x:c>
      <x:c r="E362" t="s">
        <x:v>46</x:v>
      </x:c>
      <x:c r="F362">
        <x:v>7</x:v>
      </x:c>
      <x:c r="G362">
        <x:v>127.59</x:v>
      </x:c>
      <x:c r="H362" t="s">
        <x:v>64</x:v>
      </x:c>
      <x:c r="I362" t="s">
        <x:v>41</x:v>
      </x:c>
      <x:c r="J362" s="1">
        <x:v>45451</x:v>
      </x:c>
      <x:c r="K362" t="s">
        <x:v>27</x:v>
      </x:c>
      <x:c r="M362"/>
      <x:c r="N362">
        <x:v>12</x:v>
      </x:c>
      <x:c r="O362">
        <x:v>7</x:v>
      </x:c>
      <x:c r="P362">
        <x:v>31</x:v>
      </x:c>
      <x:c r="Q362" t="s">
        <x:v>27</x:v>
      </x:c>
      <x:c r="R362" t="n">
        <x:f>IF(subscriptions[[#This Row],[churned]]="Yes",1,0)</x:f>
        <x:v>0</x:v>
      </x:c>
      <x:c r="S362" s="11" t="str">
        <x:f>IF(K362="Yes",(L362-J362)/30.4375,"")</x:f>
      </x:c>
      <x:c r="T362" t="str">
        <x:f>IF(AND(K362="No",P362&lt;40,O362&lt;=4),"High Risk","")</x:f>
      </x:c>
    </x:row>
    <x:row r="363">
      <x:c r="A363" t="s">
        <x:v>420</x:v>
      </x:c>
      <x:c r="B363" t="s">
        <x:v>75</x:v>
      </x:c>
      <x:c r="C363" t="s">
        <x:v>20</x:v>
      </x:c>
      <x:c r="D363" t="s">
        <x:v>56</x:v>
      </x:c>
      <x:c r="E363" t="s">
        <x:v>22</x:v>
      </x:c>
      <x:c r="F363">
        <x:v>59</x:v>
      </x:c>
      <x:c r="G363">
        <x:v>4840.3</x:v>
      </x:c>
      <x:c r="H363" t="s">
        <x:v>23</x:v>
      </x:c>
      <x:c r="I363" t="s">
        <x:v>24</x:v>
      </x:c>
      <x:c r="J363" s="1">
        <x:v>45190</x:v>
      </x:c>
      <x:c r="K363" t="s">
        <x:v>27</x:v>
      </x:c>
      <x:c r="M363"/>
      <x:c r="N363">
        <x:v>0</x:v>
      </x:c>
      <x:c r="O363">
        <x:v>3</x:v>
      </x:c>
      <x:c r="P363">
        <x:v>90</x:v>
      </x:c>
      <x:c r="Q363" t="s">
        <x:v>27</x:v>
      </x:c>
      <x:c r="R363" t="n">
        <x:f>IF(subscriptions[[#This Row],[churned]]="Yes",1,0)</x:f>
        <x:v>0</x:v>
      </x:c>
      <x:c r="S363" s="11" t="str">
        <x:f>IF(K363="Yes",(L363-J363)/30.4375,"")</x:f>
      </x:c>
      <x:c r="T363" t="str">
        <x:f>IF(AND(K363="No",P363&lt;40,O363&lt;=4),"High Risk","")</x:f>
      </x:c>
    </x:row>
    <x:row r="364">
      <x:c r="A364" t="s">
        <x:v>421</x:v>
      </x:c>
      <x:c r="B364" t="s">
        <x:v>75</x:v>
      </x:c>
      <x:c r="C364" t="s">
        <x:v>20</x:v>
      </x:c>
      <x:c r="D364" t="s">
        <x:v>45</x:v>
      </x:c>
      <x:c r="E364" t="s">
        <x:v>46</x:v>
      </x:c>
      <x:c r="F364">
        <x:v>7</x:v>
      </x:c>
      <x:c r="G364">
        <x:v>948.1</x:v>
      </x:c>
      <x:c r="H364" t="s">
        <x:v>102</x:v>
      </x:c>
      <x:c r="I364" t="s">
        <x:v>24</x:v>
      </x:c>
      <x:c r="J364" s="1">
        <x:v>45357</x:v>
      </x:c>
      <x:c r="K364" t="s">
        <x:v>27</x:v>
      </x:c>
      <x:c r="M364"/>
      <x:c r="N364">
        <x:v>2</x:v>
      </x:c>
      <x:c r="O364">
        <x:v>6</x:v>
      </x:c>
      <x:c r="P364">
        <x:v>41</x:v>
      </x:c>
      <x:c r="Q364" t="s">
        <x:v>27</x:v>
      </x:c>
      <x:c r="R364" t="n">
        <x:f>IF(subscriptions[[#This Row],[churned]]="Yes",1,0)</x:f>
        <x:v>0</x:v>
      </x:c>
      <x:c r="S364" s="11" t="str">
        <x:f>IF(K364="Yes",(L364-J364)/30.4375,"")</x:f>
      </x:c>
      <x:c r="T364" t="str">
        <x:f>IF(AND(K364="No",P364&lt;40,O364&lt;=4),"High Risk","")</x:f>
      </x:c>
    </x:row>
    <x:row r="365">
      <x:c r="A365" t="s">
        <x:v>422</x:v>
      </x:c>
      <x:c r="B365" t="s">
        <x:v>38</x:v>
      </x:c>
      <x:c r="C365" t="s">
        <x:v>20</x:v>
      </x:c>
      <x:c r="D365" t="s">
        <x:v>72</x:v>
      </x:c>
      <x:c r="E365" t="s">
        <x:v>40</x:v>
      </x:c>
      <x:c r="F365">
        <x:v>17</x:v>
      </x:c>
      <x:c r="G365">
        <x:v>676.6</x:v>
      </x:c>
      <x:c r="H365" t="s">
        <x:v>36</x:v>
      </x:c>
      <x:c r="I365" t="s">
        <x:v>24</x:v>
      </x:c>
      <x:c r="J365" s="1">
        <x:v>44656</x:v>
      </x:c>
      <x:c r="K365" t="s">
        <x:v>25</x:v>
      </x:c>
      <x:c r="L365" s="1">
        <x:v>45920</x:v>
      </x:c>
      <x:c r="M365" t="s">
        <x:v>26</x:v>
      </x:c>
      <x:c r="N365">
        <x:v>7</x:v>
      </x:c>
      <x:c r="O365">
        <x:v>4</x:v>
      </x:c>
      <x:c r="P365">
        <x:v>13</x:v>
      </x:c>
      <x:c r="Q365" t="s">
        <x:v>27</x:v>
      </x:c>
      <x:c r="R365" t="n">
        <x:f>IF(subscriptions[[#This Row],[churned]]="Yes",1,0)</x:f>
        <x:v>1</x:v>
      </x:c>
      <x:c r="S365" s="11" t="n">
        <x:f>IF(K365="Yes",(L365-J365)/30.4375,"")</x:f>
        <x:v>41.52772073921971</x:v>
      </x:c>
      <x:c r="T365" t="str">
        <x:f>IF(AND(K365="No",P365&lt;40,O365&lt;=4),"High Risk","")</x:f>
      </x:c>
    </x:row>
    <x:row r="366">
      <x:c r="A366" t="s">
        <x:v>423</x:v>
      </x:c>
      <x:c r="B366" t="s">
        <x:v>33</x:v>
      </x:c>
      <x:c r="C366" t="s">
        <x:v>20</x:v>
      </x:c>
      <x:c r="D366" t="s">
        <x:v>83</x:v>
      </x:c>
      <x:c r="E366" t="s">
        <x:v>40</x:v>
      </x:c>
      <x:c r="F366">
        <x:v>14</x:v>
      </x:c>
      <x:c r="G366">
        <x:v>85.55</x:v>
      </x:c>
      <x:c r="H366" t="s">
        <x:v>36</x:v>
      </x:c>
      <x:c r="I366" t="s">
        <x:v>73</x:v>
      </x:c>
      <x:c r="J366" s="1">
        <x:v>45362</x:v>
      </x:c>
      <x:c r="K366" t="s">
        <x:v>25</x:v>
      </x:c>
      <x:c r="L366" s="1">
        <x:v>45450</x:v>
      </x:c>
      <x:c r="M366" t="s">
        <x:v>54</x:v>
      </x:c>
      <x:c r="N366">
        <x:v>9</x:v>
      </x:c>
      <x:c r="O366">
        <x:v>2</x:v>
      </x:c>
      <x:c r="P366">
        <x:v>14</x:v>
      </x:c>
      <x:c r="Q366" t="s">
        <x:v>27</x:v>
      </x:c>
      <x:c r="R366" t="n">
        <x:f>IF(subscriptions[[#This Row],[churned]]="Yes",1,0)</x:f>
        <x:v>1</x:v>
      </x:c>
      <x:c r="S366" s="11" t="n">
        <x:f>IF(K366="Yes",(L366-J366)/30.4375,"")</x:f>
        <x:v>2.891170431211499</x:v>
      </x:c>
      <x:c r="T366" t="str">
        <x:f>IF(AND(K366="No",P366&lt;40,O366&lt;=4),"High Risk","")</x:f>
      </x:c>
    </x:row>
    <x:row r="367">
      <x:c r="A367" t="s">
        <x:v>424</x:v>
      </x:c>
      <x:c r="B367" t="s">
        <x:v>19</x:v>
      </x:c>
      <x:c r="C367" t="s">
        <x:v>20</x:v>
      </x:c>
      <x:c r="D367" t="s">
        <x:v>66</x:v>
      </x:c>
      <x:c r="E367" t="s">
        <x:v>22</x:v>
      </x:c>
      <x:c r="F367">
        <x:v>52</x:v>
      </x:c>
      <x:c r="G367">
        <x:v>683.35</x:v>
      </x:c>
      <x:c r="H367" t="s">
        <x:v>64</x:v>
      </x:c>
      <x:c r="I367" t="s">
        <x:v>24</x:v>
      </x:c>
      <x:c r="J367" s="1">
        <x:v>45928</x:v>
      </x:c>
      <x:c r="K367" t="s">
        <x:v>27</x:v>
      </x:c>
      <x:c r="M367"/>
      <x:c r="N367">
        <x:v>11</x:v>
      </x:c>
      <x:c r="O367">
        <x:v>8</x:v>
      </x:c>
      <x:c r="P367">
        <x:v>17</x:v>
      </x:c>
      <x:c r="Q367" t="s">
        <x:v>27</x:v>
      </x:c>
      <x:c r="R367" t="n">
        <x:f>IF(subscriptions[[#This Row],[churned]]="Yes",1,0)</x:f>
        <x:v>0</x:v>
      </x:c>
      <x:c r="S367" s="11" t="str">
        <x:f>IF(K367="Yes",(L367-J367)/30.4375,"")</x:f>
      </x:c>
      <x:c r="T367" t="str">
        <x:f>IF(AND(K367="No",P367&lt;40,O367&lt;=4),"High Risk","")</x:f>
      </x:c>
    </x:row>
    <x:row r="368">
      <x:c r="A368" t="s">
        <x:v>425</x:v>
      </x:c>
      <x:c r="B368" t="s">
        <x:v>33</x:v>
      </x:c>
      <x:c r="C368" t="s">
        <x:v>29</x:v>
      </x:c>
      <x:c r="D368" t="s">
        <x:v>83</x:v>
      </x:c>
      <x:c r="E368" t="s">
        <x:v>46</x:v>
      </x:c>
      <x:c r="F368">
        <x:v>5</x:v>
      </x:c>
      <x:c r="G368">
        <x:v>39.44</x:v>
      </x:c>
      <x:c r="H368" t="s">
        <x:v>47</x:v>
      </x:c>
      <x:c r="I368" t="s">
        <x:v>24</x:v>
      </x:c>
      <x:c r="J368" s="1">
        <x:v>45136</x:v>
      </x:c>
      <x:c r="K368" t="s">
        <x:v>27</x:v>
      </x:c>
      <x:c r="M368"/>
      <x:c r="N368">
        <x:v>1</x:v>
      </x:c>
      <x:c r="O368">
        <x:v>3</x:v>
      </x:c>
      <x:c r="P368">
        <x:v>80</x:v>
      </x:c>
      <x:c r="Q368" t="s">
        <x:v>27</x:v>
      </x:c>
      <x:c r="R368" t="n">
        <x:f>IF(subscriptions[[#This Row],[churned]]="Yes",1,0)</x:f>
        <x:v>0</x:v>
      </x:c>
      <x:c r="S368" s="11" t="str">
        <x:f>IF(K368="Yes",(L368-J368)/30.4375,"")</x:f>
      </x:c>
      <x:c r="T368" t="str">
        <x:f>IF(AND(K368="No",P368&lt;40,O368&lt;=4),"High Risk","")</x:f>
      </x:c>
    </x:row>
    <x:row r="369">
      <x:c r="A369" t="s">
        <x:v>426</x:v>
      </x:c>
      <x:c r="B369" t="s">
        <x:v>19</x:v>
      </x:c>
      <x:c r="C369" t="s">
        <x:v>29</x:v>
      </x:c>
      <x:c r="D369" t="s">
        <x:v>53</x:v>
      </x:c>
      <x:c r="E369" t="s">
        <x:v>40</x:v>
      </x:c>
      <x:c r="F369">
        <x:v>25</x:v>
      </x:c>
      <x:c r="G369">
        <x:v>308.89</x:v>
      </x:c>
      <x:c r="H369" t="s">
        <x:v>36</x:v>
      </x:c>
      <x:c r="I369" t="s">
        <x:v>24</x:v>
      </x:c>
      <x:c r="J369" s="1">
        <x:v>45429</x:v>
      </x:c>
      <x:c r="K369" t="s">
        <x:v>27</x:v>
      </x:c>
      <x:c r="M369"/>
      <x:c r="N369">
        <x:v>3</x:v>
      </x:c>
      <x:c r="O369">
        <x:v>6</x:v>
      </x:c>
      <x:c r="P369">
        <x:v>92</x:v>
      </x:c>
      <x:c r="Q369" t="s">
        <x:v>27</x:v>
      </x:c>
      <x:c r="R369" t="n">
        <x:f>IF(subscriptions[[#This Row],[churned]]="Yes",1,0)</x:f>
        <x:v>0</x:v>
      </x:c>
      <x:c r="S369" s="11" t="str">
        <x:f>IF(K369="Yes",(L369-J369)/30.4375,"")</x:f>
      </x:c>
      <x:c r="T369" t="str">
        <x:f>IF(AND(K369="No",P369&lt;40,O369&lt;=4),"High Risk","")</x:f>
      </x:c>
    </x:row>
    <x:row r="370">
      <x:c r="A370" t="s">
        <x:v>427</x:v>
      </x:c>
      <x:c r="B370" t="s">
        <x:v>75</x:v>
      </x:c>
      <x:c r="C370" t="s">
        <x:v>20</x:v>
      </x:c>
      <x:c r="D370" t="s">
        <x:v>21</x:v>
      </x:c>
      <x:c r="E370" t="s">
        <x:v>40</x:v>
      </x:c>
      <x:c r="F370">
        <x:v>25</x:v>
      </x:c>
      <x:c r="G370">
        <x:v>2295.4</x:v>
      </x:c>
      <x:c r="H370" t="s">
        <x:v>30</x:v>
      </x:c>
      <x:c r="I370" t="s">
        <x:v>24</x:v>
      </x:c>
      <x:c r="J370" s="1">
        <x:v>45725</x:v>
      </x:c>
      <x:c r="K370" t="s">
        <x:v>25</x:v>
      </x:c>
      <x:c r="L370" s="1">
        <x:v>45775</x:v>
      </x:c>
      <x:c r="M370" t="s">
        <x:v>54</x:v>
      </x:c>
      <x:c r="N370">
        <x:v>9</x:v>
      </x:c>
      <x:c r="O370">
        <x:v>6</x:v>
      </x:c>
      <x:c r="P370">
        <x:v>37</x:v>
      </x:c>
      <x:c r="Q370" t="s">
        <x:v>27</x:v>
      </x:c>
      <x:c r="R370" t="n">
        <x:f>IF(subscriptions[[#This Row],[churned]]="Yes",1,0)</x:f>
        <x:v>1</x:v>
      </x:c>
      <x:c r="S370" s="11" t="n">
        <x:f>IF(K370="Yes",(L370-J370)/30.4375,"")</x:f>
        <x:v>1.6427104722792607</x:v>
      </x:c>
      <x:c r="T370" t="str">
        <x:f>IF(AND(K370="No",P370&lt;40,O370&lt;=4),"High Risk","")</x:f>
      </x:c>
    </x:row>
    <x:row r="371">
      <x:c r="A371" t="s">
        <x:v>428</x:v>
      </x:c>
      <x:c r="B371" t="s">
        <x:v>33</x:v>
      </x:c>
      <x:c r="C371" t="s">
        <x:v>20</x:v>
      </x:c>
      <x:c r="D371" t="s">
        <x:v>39</x:v>
      </x:c>
      <x:c r="E371" t="s">
        <x:v>49</x:v>
      </x:c>
      <x:c r="F371">
        <x:v>117</x:v>
      </x:c>
      <x:c r="G371">
        <x:v>533.6</x:v>
      </x:c>
      <x:c r="H371" t="s">
        <x:v>23</x:v>
      </x:c>
      <x:c r="I371" t="s">
        <x:v>24</x:v>
      </x:c>
      <x:c r="J371" s="1">
        <x:v>45492</x:v>
      </x:c>
      <x:c r="K371" t="s">
        <x:v>25</x:v>
      </x:c>
      <x:c r="L371" s="1">
        <x:v>45775</x:v>
      </x:c>
      <x:c r="M371" t="s">
        <x:v>26</x:v>
      </x:c>
      <x:c r="N371">
        <x:v>8</x:v>
      </x:c>
      <x:c r="O371">
        <x:v>6</x:v>
      </x:c>
      <x:c r="P371">
        <x:v>10</x:v>
      </x:c>
      <x:c r="Q371" t="s">
        <x:v>27</x:v>
      </x:c>
      <x:c r="R371" t="n">
        <x:f>IF(subscriptions[[#This Row],[churned]]="Yes",1,0)</x:f>
        <x:v>1</x:v>
      </x:c>
      <x:c r="S371" s="11" t="n">
        <x:f>IF(K371="Yes",(L371-J371)/30.4375,"")</x:f>
        <x:v>9.297741273100616</x:v>
      </x:c>
      <x:c r="T371" t="str">
        <x:f>IF(AND(K371="No",P371&lt;40,O371&lt;=4),"High Risk","")</x:f>
      </x:c>
    </x:row>
    <x:row r="372">
      <x:c r="A372" t="s">
        <x:v>429</x:v>
      </x:c>
      <x:c r="B372" t="s">
        <x:v>33</x:v>
      </x:c>
      <x:c r="C372" t="s">
        <x:v>20</x:v>
      </x:c>
      <x:c r="D372" t="s">
        <x:v>83</x:v>
      </x:c>
      <x:c r="E372" t="s">
        <x:v>22</x:v>
      </x:c>
      <x:c r="F372">
        <x:v>39</x:v>
      </x:c>
      <x:c r="G372">
        <x:v>194.3</x:v>
      </x:c>
      <x:c r="H372" t="s">
        <x:v>47</x:v>
      </x:c>
      <x:c r="I372" t="s">
        <x:v>73</x:v>
      </x:c>
      <x:c r="J372" s="1">
        <x:v>45352</x:v>
      </x:c>
      <x:c r="K372" t="s">
        <x:v>25</x:v>
      </x:c>
      <x:c r="L372" s="1">
        <x:v>45399</x:v>
      </x:c>
      <x:c r="M372" t="s">
        <x:v>26</x:v>
      </x:c>
      <x:c r="N372">
        <x:v>13</x:v>
      </x:c>
      <x:c r="O372">
        <x:v>1</x:v>
      </x:c>
      <x:c r="P372">
        <x:v>22</x:v>
      </x:c>
      <x:c r="Q372" t="s">
        <x:v>27</x:v>
      </x:c>
      <x:c r="R372" t="n">
        <x:f>IF(subscriptions[[#This Row],[churned]]="Yes",1,0)</x:f>
        <x:v>1</x:v>
      </x:c>
      <x:c r="S372" s="11" t="n">
        <x:f>IF(K372="Yes",(L372-J372)/30.4375,"")</x:f>
        <x:v>1.5441478439425051</x:v>
      </x:c>
      <x:c r="T372" t="str">
        <x:f>IF(AND(K372="No",P372&lt;40,O372&lt;=4),"High Risk","")</x:f>
      </x:c>
    </x:row>
    <x:row r="373">
      <x:c r="A373" t="s">
        <x:v>430</x:v>
      </x:c>
      <x:c r="B373" t="s">
        <x:v>38</x:v>
      </x:c>
      <x:c r="C373" t="s">
        <x:v>20</x:v>
      </x:c>
      <x:c r="D373" t="s">
        <x:v>72</x:v>
      </x:c>
      <x:c r="E373" t="s">
        <x:v>40</x:v>
      </x:c>
      <x:c r="F373">
        <x:v>29</x:v>
      </x:c>
      <x:c r="G373">
        <x:v>1034.8</x:v>
      </x:c>
      <x:c r="H373" t="s">
        <x:v>64</x:v>
      </x:c>
      <x:c r="I373" t="s">
        <x:v>59</x:v>
      </x:c>
      <x:c r="J373" s="1">
        <x:v>44967</x:v>
      </x:c>
      <x:c r="K373" t="s">
        <x:v>25</x:v>
      </x:c>
      <x:c r="L373" s="1">
        <x:v>45944</x:v>
      </x:c>
      <x:c r="M373" t="s">
        <x:v>60</x:v>
      </x:c>
      <x:c r="N373">
        <x:v>12</x:v>
      </x:c>
      <x:c r="O373">
        <x:v>1</x:v>
      </x:c>
      <x:c r="P373">
        <x:v>34</x:v>
      </x:c>
      <x:c r="Q373" t="s">
        <x:v>27</x:v>
      </x:c>
      <x:c r="R373" t="n">
        <x:f>IF(subscriptions[[#This Row],[churned]]="Yes",1,0)</x:f>
        <x:v>1</x:v>
      </x:c>
      <x:c r="S373" s="11" t="n">
        <x:f>IF(K373="Yes",(L373-J373)/30.4375,"")</x:f>
        <x:v>32.09856262833676</x:v>
      </x:c>
      <x:c r="T373" t="str">
        <x:f>IF(AND(K373="No",P373&lt;40,O373&lt;=4),"High Risk","")</x:f>
      </x:c>
    </x:row>
    <x:row r="374">
      <x:c r="A374" t="s">
        <x:v>431</x:v>
      </x:c>
      <x:c r="B374" t="s">
        <x:v>38</x:v>
      </x:c>
      <x:c r="C374" t="s">
        <x:v>20</x:v>
      </x:c>
      <x:c r="D374" t="s">
        <x:v>34</x:v>
      </x:c>
      <x:c r="E374" t="s">
        <x:v>46</x:v>
      </x:c>
      <x:c r="F374">
        <x:v>4</x:v>
      </x:c>
      <x:c r="G374">
        <x:v>288.55</x:v>
      </x:c>
      <x:c r="H374" t="s">
        <x:v>36</x:v>
      </x:c>
      <x:c r="I374" t="s">
        <x:v>41</x:v>
      </x:c>
      <x:c r="J374" s="1">
        <x:v>45959</x:v>
      </x:c>
      <x:c r="K374" t="s">
        <x:v>27</x:v>
      </x:c>
      <x:c r="M374"/>
      <x:c r="N374">
        <x:v>6</x:v>
      </x:c>
      <x:c r="O374">
        <x:v>2</x:v>
      </x:c>
      <x:c r="P374">
        <x:v>63</x:v>
      </x:c>
      <x:c r="Q374" t="s">
        <x:v>27</x:v>
      </x:c>
      <x:c r="R374" t="n">
        <x:f>IF(subscriptions[[#This Row],[churned]]="Yes",1,0)</x:f>
        <x:v>0</x:v>
      </x:c>
      <x:c r="S374" s="11" t="str">
        <x:f>IF(K374="Yes",(L374-J374)/30.4375,"")</x:f>
      </x:c>
      <x:c r="T374" t="str">
        <x:f>IF(AND(K374="No",P374&lt;40,O374&lt;=4),"High Risk","")</x:f>
      </x:c>
    </x:row>
    <x:row r="375">
      <x:c r="A375" t="s">
        <x:v>432</x:v>
      </x:c>
      <x:c r="B375" t="s">
        <x:v>33</x:v>
      </x:c>
      <x:c r="C375" t="s">
        <x:v>20</x:v>
      </x:c>
      <x:c r="D375" t="s">
        <x:v>39</x:v>
      </x:c>
      <x:c r="E375" t="s">
        <x:v>49</x:v>
      </x:c>
      <x:c r="F375">
        <x:v>139</x:v>
      </x:c>
      <x:c r="G375">
        <x:v>629.29999999999995</x:v>
      </x:c>
      <x:c r="H375" t="s">
        <x:v>64</x:v>
      </x:c>
      <x:c r="I375" t="s">
        <x:v>59</x:v>
      </x:c>
      <x:c r="J375" s="1">
        <x:v>44569</x:v>
      </x:c>
      <x:c r="K375" t="s">
        <x:v>25</x:v>
      </x:c>
      <x:c r="L375" s="1">
        <x:v>44659</x:v>
      </x:c>
      <x:c r="M375" t="s">
        <x:v>86</x:v>
      </x:c>
      <x:c r="N375">
        <x:v>10</x:v>
      </x:c>
      <x:c r="O375">
        <x:v>6</x:v>
      </x:c>
      <x:c r="P375">
        <x:v>20</x:v>
      </x:c>
      <x:c r="Q375" t="s">
        <x:v>27</x:v>
      </x:c>
      <x:c r="R375" t="n">
        <x:f>IF(subscriptions[[#This Row],[churned]]="Yes",1,0)</x:f>
        <x:v>1</x:v>
      </x:c>
      <x:c r="S375" s="11" t="n">
        <x:f>IF(K375="Yes",(L375-J375)/30.4375,"")</x:f>
        <x:v>2.9568788501026693</x:v>
      </x:c>
      <x:c r="T375" t="str">
        <x:f>IF(AND(K375="No",P375&lt;40,O375&lt;=4),"High Risk","")</x:f>
      </x:c>
    </x:row>
    <x:row r="376">
      <x:c r="A376" t="s">
        <x:v>433</x:v>
      </x:c>
      <x:c r="B376" t="s">
        <x:v>33</x:v>
      </x:c>
      <x:c r="C376" t="s">
        <x:v>29</x:v>
      </x:c>
      <x:c r="D376" t="s">
        <x:v>72</x:v>
      </x:c>
      <x:c r="E376" t="s">
        <x:v>40</x:v>
      </x:c>
      <x:c r="F376">
        <x:v>16</x:v>
      </x:c>
      <x:c r="G376">
        <x:v>80.11</x:v>
      </x:c>
      <x:c r="H376" t="s">
        <x:v>23</x:v>
      </x:c>
      <x:c r="I376" t="s">
        <x:v>41</x:v>
      </x:c>
      <x:c r="J376" s="1">
        <x:v>44693</x:v>
      </x:c>
      <x:c r="K376" t="s">
        <x:v>25</x:v>
      </x:c>
      <x:c r="L376" s="1">
        <x:v>44931</x:v>
      </x:c>
      <x:c r="M376" t="s">
        <x:v>86</x:v>
      </x:c>
      <x:c r="N376">
        <x:v>7</x:v>
      </x:c>
      <x:c r="O376">
        <x:v>5</x:v>
      </x:c>
      <x:c r="P376">
        <x:v>18</x:v>
      </x:c>
      <x:c r="Q376" t="s">
        <x:v>27</x:v>
      </x:c>
      <x:c r="R376" t="n">
        <x:f>IF(subscriptions[[#This Row],[churned]]="Yes",1,0)</x:f>
        <x:v>1</x:v>
      </x:c>
      <x:c r="S376" s="11" t="n">
        <x:f>IF(K376="Yes",(L376-J376)/30.4375,"")</x:f>
        <x:v>7.819301848049282</x:v>
      </x:c>
      <x:c r="T376" t="str">
        <x:f>IF(AND(K376="No",P376&lt;40,O376&lt;=4),"High Risk","")</x:f>
      </x:c>
    </x:row>
    <x:row r="377">
      <x:c r="A377" t="s">
        <x:v>434</x:v>
      </x:c>
      <x:c r="B377" t="s">
        <x:v>75</x:v>
      </x:c>
      <x:c r="C377" t="s">
        <x:v>29</x:v>
      </x:c>
      <x:c r="D377" t="s">
        <x:v>56</x:v>
      </x:c>
      <x:c r="E377" t="s">
        <x:v>22</x:v>
      </x:c>
      <x:c r="F377">
        <x:v>46</x:v>
      </x:c>
      <x:c r="G377">
        <x:v>3287.16</x:v>
      </x:c>
      <x:c r="H377" t="s">
        <x:v>36</x:v>
      </x:c>
      <x:c r="I377" t="s">
        <x:v>24</x:v>
      </x:c>
      <x:c r="J377" s="1">
        <x:v>44994</x:v>
      </x:c>
      <x:c r="K377" t="s">
        <x:v>25</x:v>
      </x:c>
      <x:c r="L377" s="1">
        <x:v>45459</x:v>
      </x:c>
      <x:c r="M377" t="s">
        <x:v>67</x:v>
      </x:c>
      <x:c r="N377">
        <x:v>12</x:v>
      </x:c>
      <x:c r="O377">
        <x:v>5</x:v>
      </x:c>
      <x:c r="P377">
        <x:v>27</x:v>
      </x:c>
      <x:c r="Q377" t="s">
        <x:v>27</x:v>
      </x:c>
      <x:c r="R377" t="n">
        <x:f>IF(subscriptions[[#This Row],[churned]]="Yes",1,0)</x:f>
        <x:v>1</x:v>
      </x:c>
      <x:c r="S377" s="11" t="n">
        <x:f>IF(K377="Yes",(L377-J377)/30.4375,"")</x:f>
        <x:v>15.277207392197125</x:v>
      </x:c>
      <x:c r="T377" t="str">
        <x:f>IF(AND(K377="No",P377&lt;40,O377&lt;=4),"High Risk","")</x:f>
      </x:c>
    </x:row>
    <x:row r="378">
      <x:c r="A378" t="s">
        <x:v>435</x:v>
      </x:c>
      <x:c r="B378" t="s">
        <x:v>33</x:v>
      </x:c>
      <x:c r="C378" t="s">
        <x:v>20</x:v>
      </x:c>
      <x:c r="D378" t="s">
        <x:v>72</x:v>
      </x:c>
      <x:c r="E378" t="s">
        <x:v>40</x:v>
      </x:c>
      <x:c r="F378">
        <x:v>26</x:v>
      </x:c>
      <x:c r="G378">
        <x:v>137.75</x:v>
      </x:c>
      <x:c r="H378" t="s">
        <x:v>23</x:v>
      </x:c>
      <x:c r="I378" t="s">
        <x:v>73</x:v>
      </x:c>
      <x:c r="J378" s="1">
        <x:v>45191</x:v>
      </x:c>
      <x:c r="K378" t="s">
        <x:v>25</x:v>
      </x:c>
      <x:c r="L378" s="1">
        <x:v>45269</x:v>
      </x:c>
      <x:c r="M378" t="s">
        <x:v>50</x:v>
      </x:c>
      <x:c r="N378">
        <x:v>12</x:v>
      </x:c>
      <x:c r="O378">
        <x:v>1</x:v>
      </x:c>
      <x:c r="P378">
        <x:v>33</x:v>
      </x:c>
      <x:c r="Q378" t="s">
        <x:v>27</x:v>
      </x:c>
      <x:c r="R378" t="n">
        <x:f>IF(subscriptions[[#This Row],[churned]]="Yes",1,0)</x:f>
        <x:v>1</x:v>
      </x:c>
      <x:c r="S378" s="11" t="n">
        <x:f>IF(K378="Yes",(L378-J378)/30.4375,"")</x:f>
        <x:v>2.5626283367556466</x:v>
      </x:c>
      <x:c r="T378" t="str">
        <x:f>IF(AND(K378="No",P378&lt;40,O378&lt;=4),"High Risk","")</x:f>
      </x:c>
    </x:row>
    <x:row r="379">
      <x:c r="A379" t="s">
        <x:v>436</x:v>
      </x:c>
      <x:c r="B379" t="s">
        <x:v>38</x:v>
      </x:c>
      <x:c r="C379" t="s">
        <x:v>20</x:v>
      </x:c>
      <x:c r="D379" t="s">
        <x:v>43</x:v>
      </x:c>
      <x:c r="E379" t="s">
        <x:v>40</x:v>
      </x:c>
      <x:c r="F379">
        <x:v>5</x:v>
      </x:c>
      <x:c r="G379">
        <x:v>318.39999999999998</x:v>
      </x:c>
      <x:c r="H379" t="s">
        <x:v>23</x:v>
      </x:c>
      <x:c r="I379" t="s">
        <x:v>59</x:v>
      </x:c>
      <x:c r="J379" s="1">
        <x:v>44692</x:v>
      </x:c>
      <x:c r="K379" t="s">
        <x:v>25</x:v>
      </x:c>
      <x:c r="L379" s="1">
        <x:v>45237</x:v>
      </x:c>
      <x:c r="M379" t="s">
        <x:v>50</x:v>
      </x:c>
      <x:c r="N379">
        <x:v>10</x:v>
      </x:c>
      <x:c r="O379">
        <x:v>6</x:v>
      </x:c>
      <x:c r="P379">
        <x:v>31</x:v>
      </x:c>
      <x:c r="Q379" t="s">
        <x:v>27</x:v>
      </x:c>
      <x:c r="R379" t="n">
        <x:f>IF(subscriptions[[#This Row],[churned]]="Yes",1,0)</x:f>
        <x:v>1</x:v>
      </x:c>
      <x:c r="S379" s="11" t="n">
        <x:f>IF(K379="Yes",(L379-J379)/30.4375,"")</x:f>
        <x:v>17.905544147843944</x:v>
      </x:c>
      <x:c r="T379" t="str">
        <x:f>IF(AND(K379="No",P379&lt;40,O379&lt;=4),"High Risk","")</x:f>
      </x:c>
    </x:row>
    <x:row r="380">
      <x:c r="A380" t="s">
        <x:v>437</x:v>
      </x:c>
      <x:c r="B380" t="s">
        <x:v>33</x:v>
      </x:c>
      <x:c r="C380" t="s">
        <x:v>29</x:v>
      </x:c>
      <x:c r="D380" t="s">
        <x:v>45</x:v>
      </x:c>
      <x:c r="E380" t="s">
        <x:v>49</x:v>
      </x:c>
      <x:c r="F380">
        <x:v>62</x:v>
      </x:c>
      <x:c r="G380">
        <x:v>250.2</x:v>
      </x:c>
      <x:c r="H380" t="s">
        <x:v>102</x:v>
      </x:c>
      <x:c r="I380" t="s">
        <x:v>59</x:v>
      </x:c>
      <x:c r="J380" s="1">
        <x:v>45129</x:v>
      </x:c>
      <x:c r="K380" t="s">
        <x:v>25</x:v>
      </x:c>
      <x:c r="L380" s="1">
        <x:v>45162</x:v>
      </x:c>
      <x:c r="M380" t="s">
        <x:v>86</x:v>
      </x:c>
      <x:c r="N380">
        <x:v>13</x:v>
      </x:c>
      <x:c r="O380">
        <x:v>6</x:v>
      </x:c>
      <x:c r="P380">
        <x:v>10</x:v>
      </x:c>
      <x:c r="Q380" t="s">
        <x:v>27</x:v>
      </x:c>
      <x:c r="R380" t="n">
        <x:f>IF(subscriptions[[#This Row],[churned]]="Yes",1,0)</x:f>
        <x:v>1</x:v>
      </x:c>
      <x:c r="S380" s="11" t="n">
        <x:f>IF(K380="Yes",(L380-J380)/30.4375,"")</x:f>
        <x:v>1.0841889117043122</x:v>
      </x:c>
      <x:c r="T380" t="str">
        <x:f>IF(AND(K380="No",P380&lt;40,O380&lt;=4),"High Risk","")</x:f>
      </x:c>
    </x:row>
    <x:row r="381">
      <x:c r="A381" t="s">
        <x:v>438</x:v>
      </x:c>
      <x:c r="B381" t="s">
        <x:v>38</x:v>
      </x:c>
      <x:c r="C381" t="s">
        <x:v>29</x:v>
      </x:c>
      <x:c r="D381" t="s">
        <x:v>43</x:v>
      </x:c>
      <x:c r="E381" t="s">
        <x:v>49</x:v>
      </x:c>
      <x:c r="F381">
        <x:v>150</x:v>
      </x:c>
      <x:c r="G381">
        <x:v>3949.65</x:v>
      </x:c>
      <x:c r="H381" t="s">
        <x:v>23</x:v>
      </x:c>
      <x:c r="I381" t="s">
        <x:v>24</x:v>
      </x:c>
      <x:c r="J381" s="1">
        <x:v>45389</x:v>
      </x:c>
      <x:c r="K381" t="s">
        <x:v>27</x:v>
      </x:c>
      <x:c r="M381"/>
      <x:c r="N381">
        <x:v>7</x:v>
      </x:c>
      <x:c r="O381">
        <x:v>9</x:v>
      </x:c>
      <x:c r="P381">
        <x:v>67</x:v>
      </x:c>
      <x:c r="Q381" t="s">
        <x:v>27</x:v>
      </x:c>
      <x:c r="R381" t="n">
        <x:f>IF(subscriptions[[#This Row],[churned]]="Yes",1,0)</x:f>
        <x:v>0</x:v>
      </x:c>
      <x:c r="S381" s="11" t="str">
        <x:f>IF(K381="Yes",(L381-J381)/30.4375,"")</x:f>
      </x:c>
      <x:c r="T381" t="str">
        <x:f>IF(AND(K381="No",P381&lt;40,O381&lt;=4),"High Risk","")</x:f>
      </x:c>
    </x:row>
    <x:row r="382">
      <x:c r="A382" t="s">
        <x:v>439</x:v>
      </x:c>
      <x:c r="B382" t="s">
        <x:v>33</x:v>
      </x:c>
      <x:c r="C382" t="s">
        <x:v>29</x:v>
      </x:c>
      <x:c r="D382" t="s">
        <x:v>39</x:v>
      </x:c>
      <x:c r="E382" t="s">
        <x:v>49</x:v>
      </x:c>
      <x:c r="F382">
        <x:v>126</x:v>
      </x:c>
      <x:c r="G382">
        <x:v>486.84</x:v>
      </x:c>
      <x:c r="H382" t="s">
        <x:v>30</x:v>
      </x:c>
      <x:c r="I382" t="s">
        <x:v>59</x:v>
      </x:c>
      <x:c r="J382" s="1">
        <x:v>44799</x:v>
      </x:c>
      <x:c r="K382" t="s">
        <x:v>27</x:v>
      </x:c>
      <x:c r="M382"/>
      <x:c r="N382">
        <x:v>11</x:v>
      </x:c>
      <x:c r="O382">
        <x:v>5</x:v>
      </x:c>
      <x:c r="P382">
        <x:v>74</x:v>
      </x:c>
      <x:c r="Q382" t="s">
        <x:v>27</x:v>
      </x:c>
      <x:c r="R382" t="n">
        <x:f>IF(subscriptions[[#This Row],[churned]]="Yes",1,0)</x:f>
        <x:v>0</x:v>
      </x:c>
      <x:c r="S382" s="11" t="str">
        <x:f>IF(K382="Yes",(L382-J382)/30.4375,"")</x:f>
      </x:c>
      <x:c r="T382" t="str">
        <x:f>IF(AND(K382="No",P382&lt;40,O382&lt;=4),"High Risk","")</x:f>
      </x:c>
    </x:row>
    <x:row r="383">
      <x:c r="A383" t="s">
        <x:v>440</x:v>
      </x:c>
      <x:c r="B383" t="s">
        <x:v>33</x:v>
      </x:c>
      <x:c r="C383" t="s">
        <x:v>20</x:v>
      </x:c>
      <x:c r="D383" t="s">
        <x:v>21</x:v>
      </x:c>
      <x:c r="E383" t="s">
        <x:v>40</x:v>
      </x:c>
      <x:c r="F383">
        <x:v>24</x:v>
      </x:c>
      <x:c r="G383">
        <x:v>129.05000000000001</x:v>
      </x:c>
      <x:c r="H383" t="s">
        <x:v>23</x:v>
      </x:c>
      <x:c r="I383" t="s">
        <x:v>24</x:v>
      </x:c>
      <x:c r="J383" s="1">
        <x:v>44940</x:v>
      </x:c>
      <x:c r="K383" t="s">
        <x:v>25</x:v>
      </x:c>
      <x:c r="L383" s="1">
        <x:v>45922</x:v>
      </x:c>
      <x:c r="M383" t="s">
        <x:v>26</x:v>
      </x:c>
      <x:c r="N383">
        <x:v>11</x:v>
      </x:c>
      <x:c r="O383">
        <x:v>1</x:v>
      </x:c>
      <x:c r="P383">
        <x:v>16</x:v>
      </x:c>
      <x:c r="Q383" t="s">
        <x:v>27</x:v>
      </x:c>
      <x:c r="R383" t="n">
        <x:f>IF(subscriptions[[#This Row],[churned]]="Yes",1,0)</x:f>
        <x:v>1</x:v>
      </x:c>
      <x:c r="S383" s="11" t="n">
        <x:f>IF(K383="Yes",(L383-J383)/30.4375,"")</x:f>
        <x:v>32.26283367556468</x:v>
      </x:c>
      <x:c r="T383" t="str">
        <x:f>IF(AND(K383="No",P383&lt;40,O383&lt;=4),"High Risk","")</x:f>
      </x:c>
    </x:row>
    <x:row r="384">
      <x:c r="A384" t="s">
        <x:v>441</x:v>
      </x:c>
      <x:c r="B384" t="s">
        <x:v>19</x:v>
      </x:c>
      <x:c r="C384" t="s">
        <x:v>29</x:v>
      </x:c>
      <x:c r="D384" t="s">
        <x:v>45</x:v>
      </x:c>
      <x:c r="E384" t="s">
        <x:v>46</x:v>
      </x:c>
      <x:c r="F384">
        <x:v>4</x:v>
      </x:c>
      <x:c r="G384">
        <x:v>97.37</x:v>
      </x:c>
      <x:c r="H384" t="s">
        <x:v>47</x:v>
      </x:c>
      <x:c r="I384" t="s">
        <x:v>24</x:v>
      </x:c>
      <x:c r="J384" s="1">
        <x:v>45715</x:v>
      </x:c>
      <x:c r="K384" t="s">
        <x:v>25</x:v>
      </x:c>
      <x:c r="L384" s="1">
        <x:v>45970</x:v>
      </x:c>
      <x:c r="M384" t="s">
        <x:v>54</x:v>
      </x:c>
      <x:c r="N384">
        <x:v>0</x:v>
      </x:c>
      <x:c r="O384">
        <x:v>4</x:v>
      </x:c>
      <x:c r="P384">
        <x:v>29</x:v>
      </x:c>
      <x:c r="Q384" t="s">
        <x:v>27</x:v>
      </x:c>
      <x:c r="R384" t="n">
        <x:f>IF(subscriptions[[#This Row],[churned]]="Yes",1,0)</x:f>
        <x:v>1</x:v>
      </x:c>
      <x:c r="S384" s="11" t="n">
        <x:f>IF(K384="Yes",(L384-J384)/30.4375,"")</x:f>
        <x:v>8.37782340862423</x:v>
      </x:c>
      <x:c r="T384" t="str">
        <x:f>IF(AND(K384="No",P384&lt;40,O384&lt;=4),"High Risk","")</x:f>
      </x:c>
    </x:row>
    <x:row r="385">
      <x:c r="A385" t="s">
        <x:v>442</x:v>
      </x:c>
      <x:c r="B385" t="s">
        <x:v>75</x:v>
      </x:c>
      <x:c r="C385" t="s">
        <x:v>20</x:v>
      </x:c>
      <x:c r="D385" t="s">
        <x:v>83</x:v>
      </x:c>
      <x:c r="E385" t="s">
        <x:v>49</x:v>
      </x:c>
      <x:c r="F385">
        <x:v>141</x:v>
      </x:c>
      <x:c r="G385">
        <x:v>10978</x:v>
      </x:c>
      <x:c r="H385" t="s">
        <x:v>64</x:v>
      </x:c>
      <x:c r="I385" t="s">
        <x:v>41</x:v>
      </x:c>
      <x:c r="J385" s="1">
        <x:v>44828</x:v>
      </x:c>
      <x:c r="K385" t="s">
        <x:v>27</x:v>
      </x:c>
      <x:c r="M385"/>
      <x:c r="N385">
        <x:v>6</x:v>
      </x:c>
      <x:c r="O385">
        <x:v>2</x:v>
      </x:c>
      <x:c r="P385">
        <x:v>49</x:v>
      </x:c>
      <x:c r="Q385" t="s">
        <x:v>27</x:v>
      </x:c>
      <x:c r="R385" t="n">
        <x:f>IF(subscriptions[[#This Row],[churned]]="Yes",1,0)</x:f>
        <x:v>0</x:v>
      </x:c>
      <x:c r="S385" s="11" t="str">
        <x:f>IF(K385="Yes",(L385-J385)/30.4375,"")</x:f>
      </x:c>
      <x:c r="T385" t="str">
        <x:f>IF(AND(K385="No",P385&lt;40,O385&lt;=4),"High Risk","")</x:f>
      </x:c>
    </x:row>
    <x:row r="386">
      <x:c r="A386" t="s">
        <x:v>443</x:v>
      </x:c>
      <x:c r="B386" t="s">
        <x:v>33</x:v>
      </x:c>
      <x:c r="C386" t="s">
        <x:v>29</x:v>
      </x:c>
      <x:c r="D386" t="s">
        <x:v>21</x:v>
      </x:c>
      <x:c r="E386" t="s">
        <x:v>49</x:v>
      </x:c>
      <x:c r="F386">
        <x:v>142</x:v>
      </x:c>
      <x:c r="G386">
        <x:v>546</x:v>
      </x:c>
      <x:c r="H386" t="s">
        <x:v>64</x:v>
      </x:c>
      <x:c r="I386" t="s">
        <x:v>24</x:v>
      </x:c>
      <x:c r="J386" s="1">
        <x:v>45171</x:v>
      </x:c>
      <x:c r="K386" t="s">
        <x:v>25</x:v>
      </x:c>
      <x:c r="L386" s="1">
        <x:v>45199</x:v>
      </x:c>
      <x:c r="M386" t="s">
        <x:v>67</x:v>
      </x:c>
      <x:c r="N386">
        <x:v>13</x:v>
      </x:c>
      <x:c r="O386">
        <x:v>2</x:v>
      </x:c>
      <x:c r="P386">
        <x:v>31</x:v>
      </x:c>
      <x:c r="Q386" t="s">
        <x:v>27</x:v>
      </x:c>
      <x:c r="R386" t="n">
        <x:f>IF(subscriptions[[#This Row],[churned]]="Yes",1,0)</x:f>
        <x:v>1</x:v>
      </x:c>
      <x:c r="S386" s="11" t="n">
        <x:f>IF(K386="Yes",(L386-J386)/30.4375,"")</x:f>
        <x:v>0.919917864476386</x:v>
      </x:c>
      <x:c r="T386" t="str">
        <x:f>IF(AND(K386="No",P386&lt;40,O386&lt;=4),"High Risk","")</x:f>
      </x:c>
    </x:row>
    <x:row r="387">
      <x:c r="A387" t="s">
        <x:v>444</x:v>
      </x:c>
      <x:c r="B387" t="s">
        <x:v>19</x:v>
      </x:c>
      <x:c r="C387" t="s">
        <x:v>20</x:v>
      </x:c>
      <x:c r="D387" t="s">
        <x:v>39</x:v>
      </x:c>
      <x:c r="E387" t="s">
        <x:v>46</x:v>
      </x:c>
      <x:c r="F387">
        <x:v>4</x:v>
      </x:c>
      <x:c r="G387">
        <x:v>114.55</x:v>
      </x:c>
      <x:c r="H387" t="s">
        <x:v>47</x:v>
      </x:c>
      <x:c r="I387" t="s">
        <x:v>73</x:v>
      </x:c>
      <x:c r="J387" s="1">
        <x:v>45889</x:v>
      </x:c>
      <x:c r="K387" t="s">
        <x:v>25</x:v>
      </x:c>
      <x:c r="L387" s="1">
        <x:v>46004</x:v>
      </x:c>
      <x:c r="M387" t="s">
        <x:v>57</x:v>
      </x:c>
      <x:c r="N387">
        <x:v>7</x:v>
      </x:c>
      <x:c r="O387">
        <x:v>1</x:v>
      </x:c>
      <x:c r="P387">
        <x:v>24</x:v>
      </x:c>
      <x:c r="Q387" t="s">
        <x:v>27</x:v>
      </x:c>
      <x:c r="R387" t="n">
        <x:f>IF(subscriptions[[#This Row],[churned]]="Yes",1,0)</x:f>
        <x:v>1</x:v>
      </x:c>
      <x:c r="S387" s="11" t="n">
        <x:f>IF(K387="Yes",(L387-J387)/30.4375,"")</x:f>
        <x:v>3.7782340862423</x:v>
      </x:c>
      <x:c r="T387" t="str">
        <x:f>IF(AND(K387="No",P387&lt;40,O387&lt;=4),"High Risk","")</x:f>
      </x:c>
    </x:row>
    <x:row r="388">
      <x:c r="A388" t="s">
        <x:v>445</x:v>
      </x:c>
      <x:c r="B388" t="s">
        <x:v>33</x:v>
      </x:c>
      <x:c r="C388" t="s">
        <x:v>20</x:v>
      </x:c>
      <x:c r="D388" t="s">
        <x:v>72</x:v>
      </x:c>
      <x:c r="E388" t="s">
        <x:v>46</x:v>
      </x:c>
      <x:c r="F388">
        <x:v>3</x:v>
      </x:c>
      <x:c r="G388">
        <x:v>37.700000000000003</x:v>
      </x:c>
      <x:c r="H388" t="s">
        <x:v>47</x:v>
      </x:c>
      <x:c r="I388" t="s">
        <x:v>24</x:v>
      </x:c>
      <x:c r="J388" s="1">
        <x:v>45137</x:v>
      </x:c>
      <x:c r="K388" t="s">
        <x:v>25</x:v>
      </x:c>
      <x:c r="L388" s="1">
        <x:v>45270</x:v>
      </x:c>
      <x:c r="M388" t="s">
        <x:v>26</x:v>
      </x:c>
      <x:c r="N388">
        <x:v>11</x:v>
      </x:c>
      <x:c r="O388">
        <x:v>1</x:v>
      </x:c>
      <x:c r="P388">
        <x:v>46</x:v>
      </x:c>
      <x:c r="Q388" t="s">
        <x:v>27</x:v>
      </x:c>
      <x:c r="R388" t="n">
        <x:f>IF(subscriptions[[#This Row],[churned]]="Yes",1,0)</x:f>
        <x:v>1</x:v>
      </x:c>
      <x:c r="S388" s="11" t="n">
        <x:f>IF(K388="Yes",(L388-J388)/30.4375,"")</x:f>
        <x:v>4.369609856262834</x:v>
      </x:c>
      <x:c r="T388" t="str">
        <x:f>IF(AND(K388="No",P388&lt;40,O388&lt;=4),"High Risk","")</x:f>
      </x:c>
    </x:row>
    <x:row r="389">
      <x:c r="A389" t="s">
        <x:v>446</x:v>
      </x:c>
      <x:c r="B389" t="s">
        <x:v>19</x:v>
      </x:c>
      <x:c r="C389" t="s">
        <x:v>29</x:v>
      </x:c>
      <x:c r="D389" t="s">
        <x:v>83</x:v>
      </x:c>
      <x:c r="E389" t="s">
        <x:v>40</x:v>
      </x:c>
      <x:c r="F389">
        <x:v>31</x:v>
      </x:c>
      <x:c r="G389">
        <x:v>369.33</x:v>
      </x:c>
      <x:c r="H389" t="s">
        <x:v>36</x:v>
      </x:c>
      <x:c r="I389" t="s">
        <x:v>59</x:v>
      </x:c>
      <x:c r="J389" s="1">
        <x:v>45071</x:v>
      </x:c>
      <x:c r="K389" t="s">
        <x:v>27</x:v>
      </x:c>
      <x:c r="M389"/>
      <x:c r="N389">
        <x:v>11</x:v>
      </x:c>
      <x:c r="O389">
        <x:v>4</x:v>
      </x:c>
      <x:c r="P389">
        <x:v>66</x:v>
      </x:c>
      <x:c r="Q389" t="s">
        <x:v>27</x:v>
      </x:c>
      <x:c r="R389" t="n">
        <x:f>IF(subscriptions[[#This Row],[churned]]="Yes",1,0)</x:f>
        <x:v>0</x:v>
      </x:c>
      <x:c r="S389" s="11" t="str">
        <x:f>IF(K389="Yes",(L389-J389)/30.4375,"")</x:f>
      </x:c>
      <x:c r="T389" t="str">
        <x:f>IF(AND(K389="No",P389&lt;40,O389&lt;=4),"High Risk","")</x:f>
      </x:c>
    </x:row>
    <x:row r="390">
      <x:c r="A390" t="s">
        <x:v>447</x:v>
      </x:c>
      <x:c r="B390" t="s">
        <x:v>19</x:v>
      </x:c>
      <x:c r="C390" t="s">
        <x:v>29</x:v>
      </x:c>
      <x:c r="D390" t="s">
        <x:v>53</x:v>
      </x:c>
      <x:c r="E390" t="s">
        <x:v>49</x:v>
      </x:c>
      <x:c r="F390">
        <x:v>94</x:v>
      </x:c>
      <x:c r="G390">
        <x:v>1003.89</x:v>
      </x:c>
      <x:c r="H390" t="s">
        <x:v>47</x:v>
      </x:c>
      <x:c r="I390" t="s">
        <x:v>73</x:v>
      </x:c>
      <x:c r="J390" s="1">
        <x:v>45470</x:v>
      </x:c>
      <x:c r="K390" t="s">
        <x:v>27</x:v>
      </x:c>
      <x:c r="M390"/>
      <x:c r="N390">
        <x:v>7</x:v>
      </x:c>
      <x:c r="O390">
        <x:v>7</x:v>
      </x:c>
      <x:c r="P390">
        <x:v>62</x:v>
      </x:c>
      <x:c r="Q390" t="s">
        <x:v>27</x:v>
      </x:c>
      <x:c r="R390" t="n">
        <x:f>IF(subscriptions[[#This Row],[churned]]="Yes",1,0)</x:f>
        <x:v>0</x:v>
      </x:c>
      <x:c r="S390" s="11" t="str">
        <x:f>IF(K390="Yes",(L390-J390)/30.4375,"")</x:f>
      </x:c>
      <x:c r="T390" t="str">
        <x:f>IF(AND(K390="No",P390&lt;40,O390&lt;=4),"High Risk","")</x:f>
      </x:c>
    </x:row>
    <x:row r="391">
      <x:c r="A391" t="s">
        <x:v>448</x:v>
      </x:c>
      <x:c r="B391" t="s">
        <x:v>19</x:v>
      </x:c>
      <x:c r="C391" t="s">
        <x:v>20</x:v>
      </x:c>
      <x:c r="D391" t="s">
        <x:v>43</x:v>
      </x:c>
      <x:c r="E391" t="s">
        <x:v>49</x:v>
      </x:c>
      <x:c r="F391">
        <x:v>38</x:v>
      </x:c>
      <x:c r="G391">
        <x:v>517.45000000000005</x:v>
      </x:c>
      <x:c r="H391" t="s">
        <x:v>64</x:v>
      </x:c>
      <x:c r="I391" t="s">
        <x:v>24</x:v>
      </x:c>
      <x:c r="J391" s="1">
        <x:v>45059</x:v>
      </x:c>
      <x:c r="K391" t="s">
        <x:v>25</x:v>
      </x:c>
      <x:c r="L391" s="1">
        <x:v>45500</x:v>
      </x:c>
      <x:c r="M391" t="s">
        <x:v>50</x:v>
      </x:c>
      <x:c r="N391">
        <x:v>4</x:v>
      </x:c>
      <x:c r="O391">
        <x:v>4</x:v>
      </x:c>
      <x:c r="P391">
        <x:v>44</x:v>
      </x:c>
      <x:c r="Q391" t="s">
        <x:v>27</x:v>
      </x:c>
      <x:c r="R391" t="n">
        <x:f>IF(subscriptions[[#This Row],[churned]]="Yes",1,0)</x:f>
        <x:v>1</x:v>
      </x:c>
      <x:c r="S391" s="11" t="n">
        <x:f>IF(K391="Yes",(L391-J391)/30.4375,"")</x:f>
        <x:v>14.48870636550308</x:v>
      </x:c>
      <x:c r="T391" t="str">
        <x:f>IF(AND(K391="No",P391&lt;40,O391&lt;=4),"High Risk","")</x:f>
      </x:c>
    </x:row>
    <x:row r="392">
      <x:c r="A392" t="s">
        <x:v>449</x:v>
      </x:c>
      <x:c r="B392" t="s">
        <x:v>33</x:v>
      </x:c>
      <x:c r="C392" t="s">
        <x:v>29</x:v>
      </x:c>
      <x:c r="D392" t="s">
        <x:v>43</x:v>
      </x:c>
      <x:c r="E392" t="s">
        <x:v>46</x:v>
      </x:c>
      <x:c r="F392">
        <x:v>8</x:v>
      </x:c>
      <x:c r="G392">
        <x:v>50.53</x:v>
      </x:c>
      <x:c r="H392" t="s">
        <x:v>64</x:v>
      </x:c>
      <x:c r="I392" t="s">
        <x:v>41</x:v>
      </x:c>
      <x:c r="J392" s="1">
        <x:v>44865</x:v>
      </x:c>
      <x:c r="K392" t="s">
        <x:v>25</x:v>
      </x:c>
      <x:c r="L392" s="1">
        <x:v>45453</x:v>
      </x:c>
      <x:c r="M392" t="s">
        <x:v>67</x:v>
      </x:c>
      <x:c r="N392">
        <x:v>2</x:v>
      </x:c>
      <x:c r="O392">
        <x:v>6</x:v>
      </x:c>
      <x:c r="P392">
        <x:v>17</x:v>
      </x:c>
      <x:c r="Q392" t="s">
        <x:v>27</x:v>
      </x:c>
      <x:c r="R392" t="n">
        <x:f>IF(subscriptions[[#This Row],[churned]]="Yes",1,0)</x:f>
        <x:v>1</x:v>
      </x:c>
      <x:c r="S392" s="11" t="n">
        <x:f>IF(K392="Yes",(L392-J392)/30.4375,"")</x:f>
        <x:v>19.318275154004105</x:v>
      </x:c>
      <x:c r="T392" t="str">
        <x:f>IF(AND(K392="No",P392&lt;40,O392&lt;=4),"High Risk","")</x:f>
      </x:c>
    </x:row>
    <x:row r="393">
      <x:c r="A393" t="s">
        <x:v>450</x:v>
      </x:c>
      <x:c r="B393" t="s">
        <x:v>33</x:v>
      </x:c>
      <x:c r="C393" t="s">
        <x:v>20</x:v>
      </x:c>
      <x:c r="D393" t="s">
        <x:v>53</x:v>
      </x:c>
      <x:c r="E393" t="s">
        <x:v>40</x:v>
      </x:c>
      <x:c r="F393">
        <x:v>19</x:v>
      </x:c>
      <x:c r="G393">
        <x:v>107.3</x:v>
      </x:c>
      <x:c r="H393" t="s">
        <x:v>64</x:v>
      </x:c>
      <x:c r="I393" t="s">
        <x:v>24</x:v>
      </x:c>
      <x:c r="J393" s="1">
        <x:v>45361</x:v>
      </x:c>
      <x:c r="K393" t="s">
        <x:v>25</x:v>
      </x:c>
      <x:c r="L393" s="1">
        <x:v>45418</x:v>
      </x:c>
      <x:c r="M393" t="s">
        <x:v>86</x:v>
      </x:c>
      <x:c r="N393">
        <x:v>9</x:v>
      </x:c>
      <x:c r="O393">
        <x:v>5</x:v>
      </x:c>
      <x:c r="P393">
        <x:v>18</x:v>
      </x:c>
      <x:c r="Q393" t="s">
        <x:v>27</x:v>
      </x:c>
      <x:c r="R393" t="n">
        <x:f>IF(subscriptions[[#This Row],[churned]]="Yes",1,0)</x:f>
        <x:v>1</x:v>
      </x:c>
      <x:c r="S393" s="11" t="n">
        <x:f>IF(K393="Yes",(L393-J393)/30.4375,"")</x:f>
        <x:v>1.8726899383983573</x:v>
      </x:c>
      <x:c r="T393" t="str">
        <x:f>IF(AND(K393="No",P393&lt;40,O393&lt;=4),"High Risk","")</x:f>
      </x:c>
    </x:row>
    <x:row r="394">
      <x:c r="A394" t="s">
        <x:v>451</x:v>
      </x:c>
      <x:c r="B394" t="s">
        <x:v>19</x:v>
      </x:c>
      <x:c r="C394" t="s">
        <x:v>20</x:v>
      </x:c>
      <x:c r="D394" t="s">
        <x:v>53</x:v>
      </x:c>
      <x:c r="E394" t="s">
        <x:v>22</x:v>
      </x:c>
      <x:c r="F394">
        <x:v>39</x:v>
      </x:c>
      <x:c r="G394">
        <x:v>529.29999999999995</x:v>
      </x:c>
      <x:c r="H394" t="s">
        <x:v>30</x:v>
      </x:c>
      <x:c r="I394" t="s">
        <x:v>24</x:v>
      </x:c>
      <x:c r="J394" s="1">
        <x:v>45701</x:v>
      </x:c>
      <x:c r="K394" t="s">
        <x:v>27</x:v>
      </x:c>
      <x:c r="M394"/>
      <x:c r="N394">
        <x:v>1</x:v>
      </x:c>
      <x:c r="O394">
        <x:v>10</x:v>
      </x:c>
      <x:c r="P394">
        <x:v>49</x:v>
      </x:c>
      <x:c r="Q394" t="s">
        <x:v>27</x:v>
      </x:c>
      <x:c r="R394" t="n">
        <x:f>IF(subscriptions[[#This Row],[churned]]="Yes",1,0)</x:f>
        <x:v>0</x:v>
      </x:c>
      <x:c r="S394" s="11" t="str">
        <x:f>IF(K394="Yes",(L394-J394)/30.4375,"")</x:f>
      </x:c>
      <x:c r="T394" t="str">
        <x:f>IF(AND(K394="No",P394&lt;40,O394&lt;=4),"High Risk","")</x:f>
      </x:c>
    </x:row>
    <x:row r="395">
      <x:c r="A395" t="s">
        <x:v>452</x:v>
      </x:c>
      <x:c r="B395" t="s">
        <x:v>19</x:v>
      </x:c>
      <x:c r="C395" t="s">
        <x:v>29</x:v>
      </x:c>
      <x:c r="D395" t="s">
        <x:v>39</x:v>
      </x:c>
      <x:c r="E395" t="s">
        <x:v>40</x:v>
      </x:c>
      <x:c r="F395">
        <x:v>19</x:v>
      </x:c>
      <x:c r="G395">
        <x:v>248.46</x:v>
      </x:c>
      <x:c r="H395" t="s">
        <x:v>23</x:v>
      </x:c>
      <x:c r="I395" t="s">
        <x:v>24</x:v>
      </x:c>
      <x:c r="J395" s="1">
        <x:v>45379</x:v>
      </x:c>
      <x:c r="K395" t="s">
        <x:v>27</x:v>
      </x:c>
      <x:c r="M395"/>
      <x:c r="N395">
        <x:v>5</x:v>
      </x:c>
      <x:c r="O395">
        <x:v>6</x:v>
      </x:c>
      <x:c r="P395">
        <x:v>23</x:v>
      </x:c>
      <x:c r="Q395" t="s">
        <x:v>27</x:v>
      </x:c>
      <x:c r="R395" t="n">
        <x:f>IF(subscriptions[[#This Row],[churned]]="Yes",1,0)</x:f>
        <x:v>0</x:v>
      </x:c>
      <x:c r="S395" s="11" t="str">
        <x:f>IF(K395="Yes",(L395-J395)/30.4375,"")</x:f>
      </x:c>
      <x:c r="T395" t="str">
        <x:f>IF(AND(K395="No",P395&lt;40,O395&lt;=4),"High Risk","")</x:f>
      </x:c>
    </x:row>
    <x:row r="396">
      <x:c r="A396" t="s">
        <x:v>453</x:v>
      </x:c>
      <x:c r="B396" t="s">
        <x:v>38</x:v>
      </x:c>
      <x:c r="C396" t="s">
        <x:v>20</x:v>
      </x:c>
      <x:c r="D396" t="s">
        <x:v>34</x:v>
      </x:c>
      <x:c r="E396" t="s">
        <x:v>46</x:v>
      </x:c>
      <x:c r="F396">
        <x:v>4</x:v>
      </x:c>
      <x:c r="G396">
        <x:v>288.55</x:v>
      </x:c>
      <x:c r="H396" t="s">
        <x:v>23</x:v>
      </x:c>
      <x:c r="I396" t="s">
        <x:v>41</x:v>
      </x:c>
      <x:c r="J396" s="1">
        <x:v>45363</x:v>
      </x:c>
      <x:c r="K396" t="s">
        <x:v>27</x:v>
      </x:c>
      <x:c r="M396"/>
      <x:c r="N396">
        <x:v>0</x:v>
      </x:c>
      <x:c r="O396">
        <x:v>4</x:v>
      </x:c>
      <x:c r="P396">
        <x:v>39</x:v>
      </x:c>
      <x:c r="Q396" t="s">
        <x:v>27</x:v>
      </x:c>
      <x:c r="R396" t="n">
        <x:f>IF(subscriptions[[#This Row],[churned]]="Yes",1,0)</x:f>
        <x:v>0</x:v>
      </x:c>
      <x:c r="S396" s="11" t="str">
        <x:f>IF(K396="Yes",(L396-J396)/30.4375,"")</x:f>
      </x:c>
      <x:c r="T396" t="str">
        <x:f>IF(AND(K396="No",P396&lt;40,O396&lt;=4),"High Risk","")</x:f>
        <x:v>High Risk</x:v>
      </x:c>
    </x:row>
    <x:row r="397">
      <x:c r="A397" t="s">
        <x:v>454</x:v>
      </x:c>
      <x:c r="B397" t="s">
        <x:v>19</x:v>
      </x:c>
      <x:c r="C397" t="s">
        <x:v>20</x:v>
      </x:c>
      <x:c r="D397" t="s">
        <x:v>66</x:v>
      </x:c>
      <x:c r="E397" t="s">
        <x:v>46</x:v>
      </x:c>
      <x:c r="F397">
        <x:v>7</x:v>
      </x:c>
      <x:c r="G397">
        <x:v>150.1</x:v>
      </x:c>
      <x:c r="H397" t="s">
        <x:v>47</x:v>
      </x:c>
      <x:c r="I397" t="s">
        <x:v>41</x:v>
      </x:c>
      <x:c r="J397" s="1">
        <x:v>45217</x:v>
      </x:c>
      <x:c r="K397" t="s">
        <x:v>27</x:v>
      </x:c>
      <x:c r="M397"/>
      <x:c r="N397">
        <x:v>3</x:v>
      </x:c>
      <x:c r="O397">
        <x:v>7</x:v>
      </x:c>
      <x:c r="P397">
        <x:v>73</x:v>
      </x:c>
      <x:c r="Q397" t="s">
        <x:v>27</x:v>
      </x:c>
      <x:c r="R397" t="n">
        <x:f>IF(subscriptions[[#This Row],[churned]]="Yes",1,0)</x:f>
        <x:v>0</x:v>
      </x:c>
      <x:c r="S397" s="11" t="str">
        <x:f>IF(K397="Yes",(L397-J397)/30.4375,"")</x:f>
      </x:c>
      <x:c r="T397" t="str">
        <x:f>IF(AND(K397="No",P397&lt;40,O397&lt;=4),"High Risk","")</x:f>
      </x:c>
    </x:row>
    <x:row r="398">
      <x:c r="A398" t="s">
        <x:v>455</x:v>
      </x:c>
      <x:c r="B398" t="s">
        <x:v>33</x:v>
      </x:c>
      <x:c r="C398" t="s">
        <x:v>29</x:v>
      </x:c>
      <x:c r="D398" t="s">
        <x:v>39</x:v>
      </x:c>
      <x:c r="E398" t="s">
        <x:v>40</x:v>
      </x:c>
      <x:c r="F398">
        <x:v>5</x:v>
      </x:c>
      <x:c r="G398">
        <x:v>39.44</x:v>
      </x:c>
      <x:c r="H398" t="s">
        <x:v>23</x:v>
      </x:c>
      <x:c r="I398" t="s">
        <x:v>41</x:v>
      </x:c>
      <x:c r="J398" s="1">
        <x:v>45518</x:v>
      </x:c>
      <x:c r="K398" t="s">
        <x:v>25</x:v>
      </x:c>
      <x:c r="L398" s="1">
        <x:v>45592</x:v>
      </x:c>
      <x:c r="M398" t="s">
        <x:v>60</x:v>
      </x:c>
      <x:c r="N398">
        <x:v>2</x:v>
      </x:c>
      <x:c r="O398">
        <x:v>1</x:v>
      </x:c>
      <x:c r="P398">
        <x:v>39</x:v>
      </x:c>
      <x:c r="Q398" t="s">
        <x:v>27</x:v>
      </x:c>
      <x:c r="R398" t="n">
        <x:f>IF(subscriptions[[#This Row],[churned]]="Yes",1,0)</x:f>
        <x:v>1</x:v>
      </x:c>
      <x:c r="S398" s="11" t="n">
        <x:f>IF(K398="Yes",(L398-J398)/30.4375,"")</x:f>
        <x:v>2.431211498973306</x:v>
      </x:c>
      <x:c r="T398" t="str">
        <x:f>IF(AND(K398="No",P398&lt;40,O398&lt;=4),"High Risk","")</x:f>
      </x:c>
    </x:row>
    <x:row r="399">
      <x:c r="A399" t="s">
        <x:v>456</x:v>
      </x:c>
      <x:c r="B399" t="s">
        <x:v>38</x:v>
      </x:c>
      <x:c r="C399" t="s">
        <x:v>29</x:v>
      </x:c>
      <x:c r="D399" t="s">
        <x:v>34</x:v>
      </x:c>
      <x:c r="E399" t="s">
        <x:v>35</x:v>
      </x:c>
      <x:c r="F399">
        <x:v>252</x:v>
      </x:c>
      <x:c r="G399">
        <x:v>6537.65</x:v>
      </x:c>
      <x:c r="H399" t="s">
        <x:v>23</x:v>
      </x:c>
      <x:c r="I399" t="s">
        <x:v>24</x:v>
      </x:c>
      <x:c r="J399" s="1">
        <x:v>45044</x:v>
      </x:c>
      <x:c r="K399" t="s">
        <x:v>25</x:v>
      </x:c>
      <x:c r="L399" s="1">
        <x:v>45068</x:v>
      </x:c>
      <x:c r="M399" t="s">
        <x:v>26</x:v>
      </x:c>
      <x:c r="N399">
        <x:v>9</x:v>
      </x:c>
      <x:c r="O399">
        <x:v>6</x:v>
      </x:c>
      <x:c r="P399">
        <x:v>44</x:v>
      </x:c>
      <x:c r="Q399" t="s">
        <x:v>27</x:v>
      </x:c>
      <x:c r="R399" t="n">
        <x:f>IF(subscriptions[[#This Row],[churned]]="Yes",1,0)</x:f>
        <x:v>1</x:v>
      </x:c>
      <x:c r="S399" s="11" t="n">
        <x:f>IF(K399="Yes",(L399-J399)/30.4375,"")</x:f>
        <x:v>0.7885010266940452</x:v>
      </x:c>
      <x:c r="T399" t="str">
        <x:f>IF(AND(K399="No",P399&lt;40,O399&lt;=4),"High Risk","")</x:f>
      </x:c>
    </x:row>
    <x:row r="400">
      <x:c r="A400" t="s">
        <x:v>457</x:v>
      </x:c>
      <x:c r="B400" t="s">
        <x:v>38</x:v>
      </x:c>
      <x:c r="C400" t="s">
        <x:v>29</x:v>
      </x:c>
      <x:c r="D400" t="s">
        <x:v>39</x:v>
      </x:c>
      <x:c r="E400" t="s">
        <x:v>49</x:v>
      </x:c>
      <x:c r="F400">
        <x:v>86</x:v>
      </x:c>
      <x:c r="G400">
        <x:v>2325.81</x:v>
      </x:c>
      <x:c r="H400" t="s">
        <x:v>64</x:v>
      </x:c>
      <x:c r="I400" t="s">
        <x:v>24</x:v>
      </x:c>
      <x:c r="J400" s="1">
        <x:v>45209</x:v>
      </x:c>
      <x:c r="K400" t="s">
        <x:v>25</x:v>
      </x:c>
      <x:c r="L400" s="1">
        <x:v>45984</x:v>
      </x:c>
      <x:c r="M400" t="s">
        <x:v>54</x:v>
      </x:c>
      <x:c r="N400">
        <x:v>0</x:v>
      </x:c>
      <x:c r="O400">
        <x:v>2</x:v>
      </x:c>
      <x:c r="P400">
        <x:v>11</x:v>
      </x:c>
      <x:c r="Q400" t="s">
        <x:v>27</x:v>
      </x:c>
      <x:c r="R400" t="n">
        <x:f>IF(subscriptions[[#This Row],[churned]]="Yes",1,0)</x:f>
        <x:v>1</x:v>
      </x:c>
      <x:c r="S400" s="11" t="n">
        <x:f>IF(K400="Yes",(L400-J400)/30.4375,"")</x:f>
        <x:v>25.462012320328544</x:v>
      </x:c>
      <x:c r="T400" t="str">
        <x:f>IF(AND(K400="No",P400&lt;40,O400&lt;=4),"High Risk","")</x:f>
      </x:c>
    </x:row>
    <x:row r="401">
      <x:c r="A401" t="s">
        <x:v>458</x:v>
      </x:c>
      <x:c r="B401" t="s">
        <x:v>33</x:v>
      </x:c>
      <x:c r="C401" t="s">
        <x:v>29</x:v>
      </x:c>
      <x:c r="D401" t="s">
        <x:v>66</x:v>
      </x:c>
      <x:c r="E401" t="s">
        <x:v>46</x:v>
      </x:c>
      <x:c r="F401">
        <x:v>5</x:v>
      </x:c>
      <x:c r="G401">
        <x:v>39.44</x:v>
      </x:c>
      <x:c r="H401" t="s">
        <x:v>36</x:v>
      </x:c>
      <x:c r="I401" t="s">
        <x:v>24</x:v>
      </x:c>
      <x:c r="J401" s="1">
        <x:v>44771</x:v>
      </x:c>
      <x:c r="K401" t="s">
        <x:v>25</x:v>
      </x:c>
      <x:c r="L401" s="1">
        <x:v>45492</x:v>
      </x:c>
      <x:c r="M401" t="s">
        <x:v>57</x:v>
      </x:c>
      <x:c r="N401">
        <x:v>3</x:v>
      </x:c>
      <x:c r="O401">
        <x:v>1</x:v>
      </x:c>
      <x:c r="P401">
        <x:v>34</x:v>
      </x:c>
      <x:c r="Q401" t="s">
        <x:v>27</x:v>
      </x:c>
      <x:c r="R401" t="n">
        <x:f>IF(subscriptions[[#This Row],[churned]]="Yes",1,0)</x:f>
        <x:v>1</x:v>
      </x:c>
      <x:c r="S401" s="11" t="n">
        <x:f>IF(K401="Yes",(L401-J401)/30.4375,"")</x:f>
        <x:v>23.68788501026694</x:v>
      </x:c>
      <x:c r="T401" t="str">
        <x:f>IF(AND(K401="No",P401&lt;40,O401&lt;=4),"High Risk","")</x:f>
      </x:c>
    </x:row>
    <x:row r="402">
      <x:c r="A402" t="s">
        <x:v>459</x:v>
      </x:c>
      <x:c r="B402" t="s">
        <x:v>38</x:v>
      </x:c>
      <x:c r="C402" t="s">
        <x:v>29</x:v>
      </x:c>
      <x:c r="D402" t="s">
        <x:v>56</x:v>
      </x:c>
      <x:c r="E402" t="s">
        <x:v>46</x:v>
      </x:c>
      <x:c r="F402">
        <x:v>7</x:v>
      </x:c>
      <x:c r="G402">
        <x:v>321.38</x:v>
      </x:c>
      <x:c r="H402" t="s">
        <x:v>23</x:v>
      </x:c>
      <x:c r="I402" t="s">
        <x:v>24</x:v>
      </x:c>
      <x:c r="J402" s="1">
        <x:v>45602</x:v>
      </x:c>
      <x:c r="K402" t="s">
        <x:v>27</x:v>
      </x:c>
      <x:c r="M402"/>
      <x:c r="N402">
        <x:v>9</x:v>
      </x:c>
      <x:c r="O402">
        <x:v>9</x:v>
      </x:c>
      <x:c r="P402">
        <x:v>30</x:v>
      </x:c>
      <x:c r="Q402" t="s">
        <x:v>27</x:v>
      </x:c>
      <x:c r="R402" t="n">
        <x:f>IF(subscriptions[[#This Row],[churned]]="Yes",1,0)</x:f>
        <x:v>0</x:v>
      </x:c>
      <x:c r="S402" s="11" t="str">
        <x:f>IF(K402="Yes",(L402-J402)/30.4375,"")</x:f>
      </x:c>
      <x:c r="T402" t="str">
        <x:f>IF(AND(K402="No",P402&lt;40,O402&lt;=4),"High Risk","")</x:f>
      </x:c>
    </x:row>
    <x:row r="403">
      <x:c r="A403" t="s">
        <x:v>460</x:v>
      </x:c>
      <x:c r="B403" t="s">
        <x:v>19</x:v>
      </x:c>
      <x:c r="C403" t="s">
        <x:v>29</x:v>
      </x:c>
      <x:c r="D403" t="s">
        <x:v>53</x:v>
      </x:c>
      <x:c r="E403" t="s">
        <x:v>22</x:v>
      </x:c>
      <x:c r="F403">
        <x:v>34</x:v>
      </x:c>
      <x:c r="G403">
        <x:v>399.54</x:v>
      </x:c>
      <x:c r="H403" t="s">
        <x:v>47</x:v>
      </x:c>
      <x:c r="I403" t="s">
        <x:v>41</x:v>
      </x:c>
      <x:c r="J403" s="1">
        <x:v>44655</x:v>
      </x:c>
      <x:c r="K403" t="s">
        <x:v>25</x:v>
      </x:c>
      <x:c r="L403" s="1">
        <x:v>45528</x:v>
      </x:c>
      <x:c r="M403" t="s">
        <x:v>60</x:v>
      </x:c>
      <x:c r="N403">
        <x:v>14</x:v>
      </x:c>
      <x:c r="O403">
        <x:v>1</x:v>
      </x:c>
      <x:c r="P403">
        <x:v>34</x:v>
      </x:c>
      <x:c r="Q403" t="s">
        <x:v>27</x:v>
      </x:c>
      <x:c r="R403" t="n">
        <x:f>IF(subscriptions[[#This Row],[churned]]="Yes",1,0)</x:f>
        <x:v>1</x:v>
      </x:c>
      <x:c r="S403" s="11" t="n">
        <x:f>IF(K403="Yes",(L403-J403)/30.4375,"")</x:f>
        <x:v>28.681724845995895</x:v>
      </x:c>
      <x:c r="T403" t="str">
        <x:f>IF(AND(K403="No",P403&lt;40,O403&lt;=4),"High Risk","")</x:f>
      </x:c>
    </x:row>
    <x:row r="404">
      <x:c r="A404" t="s">
        <x:v>461</x:v>
      </x:c>
      <x:c r="B404" t="s">
        <x:v>38</x:v>
      </x:c>
      <x:c r="C404" t="s">
        <x:v>20</x:v>
      </x:c>
      <x:c r="D404" t="s">
        <x:v>83</x:v>
      </x:c>
      <x:c r="E404" t="s">
        <x:v>46</x:v>
      </x:c>
      <x:c r="F404">
        <x:v>8</x:v>
      </x:c>
      <x:c r="G404">
        <x:v>407.95</x:v>
      </x:c>
      <x:c r="H404" t="s">
        <x:v>23</x:v>
      </x:c>
      <x:c r="I404" t="s">
        <x:v>24</x:v>
      </x:c>
      <x:c r="J404" s="1">
        <x:v>44948</x:v>
      </x:c>
      <x:c r="K404" t="s">
        <x:v>25</x:v>
      </x:c>
      <x:c r="L404" s="1">
        <x:v>45531</x:v>
      </x:c>
      <x:c r="M404" t="s">
        <x:v>50</x:v>
      </x:c>
      <x:c r="N404">
        <x:v>13</x:v>
      </x:c>
      <x:c r="O404">
        <x:v>5</x:v>
      </x:c>
      <x:c r="P404">
        <x:v>25</x:v>
      </x:c>
      <x:c r="Q404" t="s">
        <x:v>27</x:v>
      </x:c>
      <x:c r="R404" t="n">
        <x:f>IF(subscriptions[[#This Row],[churned]]="Yes",1,0)</x:f>
        <x:v>1</x:v>
      </x:c>
      <x:c r="S404" s="11" t="n">
        <x:f>IF(K404="Yes",(L404-J404)/30.4375,"")</x:f>
        <x:v>19.15400410677618</x:v>
      </x:c>
      <x:c r="T404" t="str">
        <x:f>IF(AND(K404="No",P404&lt;40,O404&lt;=4),"High Risk","")</x:f>
      </x:c>
    </x:row>
    <x:row r="405">
      <x:c r="A405" t="s">
        <x:v>462</x:v>
      </x:c>
      <x:c r="B405" t="s">
        <x:v>38</x:v>
      </x:c>
      <x:c r="C405" t="s">
        <x:v>20</x:v>
      </x:c>
      <x:c r="D405" t="s">
        <x:v>56</x:v>
      </x:c>
      <x:c r="E405" t="s">
        <x:v>22</x:v>
      </x:c>
      <x:c r="F405">
        <x:v>43</x:v>
      </x:c>
      <x:c r="G405">
        <x:v>1452.7</x:v>
      </x:c>
      <x:c r="H405" t="s">
        <x:v>36</x:v>
      </x:c>
      <x:c r="I405" t="s">
        <x:v>24</x:v>
      </x:c>
      <x:c r="J405" s="1">
        <x:v>45925</x:v>
      </x:c>
      <x:c r="K405" t="s">
        <x:v>27</x:v>
      </x:c>
      <x:c r="M405"/>
      <x:c r="N405">
        <x:v>4</x:v>
      </x:c>
      <x:c r="O405">
        <x:v>5</x:v>
      </x:c>
      <x:c r="P405">
        <x:v>79</x:v>
      </x:c>
      <x:c r="Q405" t="s">
        <x:v>27</x:v>
      </x:c>
      <x:c r="R405" t="n">
        <x:f>IF(subscriptions[[#This Row],[churned]]="Yes",1,0)</x:f>
        <x:v>0</x:v>
      </x:c>
      <x:c r="S405" s="11" t="str">
        <x:f>IF(K405="Yes",(L405-J405)/30.4375,"")</x:f>
      </x:c>
      <x:c r="T405" t="str">
        <x:f>IF(AND(K405="No",P405&lt;40,O405&lt;=4),"High Risk","")</x:f>
      </x:c>
    </x:row>
    <x:row r="406">
      <x:c r="A406" t="s">
        <x:v>463</x:v>
      </x:c>
      <x:c r="B406" t="s">
        <x:v>38</x:v>
      </x:c>
      <x:c r="C406" t="s">
        <x:v>20</x:v>
      </x:c>
      <x:c r="D406" t="s">
        <x:v>43</x:v>
      </x:c>
      <x:c r="E406" t="s">
        <x:v>40</x:v>
      </x:c>
      <x:c r="F406">
        <x:v>7</x:v>
      </x:c>
      <x:c r="G406">
        <x:v>378.1</x:v>
      </x:c>
      <x:c r="H406" t="s">
        <x:v>64</x:v>
      </x:c>
      <x:c r="I406" t="s">
        <x:v>24</x:v>
      </x:c>
      <x:c r="J406" s="1">
        <x:v>45711</x:v>
      </x:c>
      <x:c r="K406" t="s">
        <x:v>27</x:v>
      </x:c>
      <x:c r="M406"/>
      <x:c r="N406">
        <x:v>11</x:v>
      </x:c>
      <x:c r="O406">
        <x:v>1</x:v>
      </x:c>
      <x:c r="P406">
        <x:v>29</x:v>
      </x:c>
      <x:c r="Q406" t="s">
        <x:v>25</x:v>
      </x:c>
      <x:c r="R406" t="n">
        <x:f>IF(subscriptions[[#This Row],[churned]]="Yes",1,0)</x:f>
        <x:v>0</x:v>
      </x:c>
      <x:c r="S406" s="11" t="str">
        <x:f>IF(K406="Yes",(L406-J406)/30.4375,"")</x:f>
      </x:c>
      <x:c r="T406" t="str">
        <x:f>IF(AND(K406="No",P406&lt;40,O406&lt;=4),"High Risk","")</x:f>
        <x:v>High Risk</x:v>
      </x:c>
    </x:row>
    <x:row r="407">
      <x:c r="A407" t="s">
        <x:v>464</x:v>
      </x:c>
      <x:c r="B407" t="s">
        <x:v>38</x:v>
      </x:c>
      <x:c r="C407" t="s">
        <x:v>20</x:v>
      </x:c>
      <x:c r="D407" t="s">
        <x:v>21</x:v>
      </x:c>
      <x:c r="E407" t="s">
        <x:v>22</x:v>
      </x:c>
      <x:c r="F407">
        <x:v>29</x:v>
      </x:c>
      <x:c r="G407">
        <x:v>1034.8</x:v>
      </x:c>
      <x:c r="H407" t="s">
        <x:v>30</x:v>
      </x:c>
      <x:c r="I407" t="s">
        <x:v>24</x:v>
      </x:c>
      <x:c r="J407" s="1">
        <x:v>44979</x:v>
      </x:c>
      <x:c r="K407" t="s">
        <x:v>25</x:v>
      </x:c>
      <x:c r="L407" s="1">
        <x:v>45929</x:v>
      </x:c>
      <x:c r="M407" t="s">
        <x:v>86</x:v>
      </x:c>
      <x:c r="N407">
        <x:v>14</x:v>
      </x:c>
      <x:c r="O407">
        <x:v>4</x:v>
      </x:c>
      <x:c r="P407">
        <x:v>41</x:v>
      </x:c>
      <x:c r="Q407" t="s">
        <x:v>27</x:v>
      </x:c>
      <x:c r="R407" t="n">
        <x:f>IF(subscriptions[[#This Row],[churned]]="Yes",1,0)</x:f>
        <x:v>1</x:v>
      </x:c>
      <x:c r="S407" s="11" t="n">
        <x:f>IF(K407="Yes",(L407-J407)/30.4375,"")</x:f>
        <x:v>31.211498973305954</x:v>
      </x:c>
      <x:c r="T407" t="str">
        <x:f>IF(AND(K407="No",P407&lt;40,O407&lt;=4),"High Risk","")</x:f>
      </x:c>
    </x:row>
    <x:row r="408">
      <x:c r="A408" t="s">
        <x:v>465</x:v>
      </x:c>
      <x:c r="B408" t="s">
        <x:v>19</x:v>
      </x:c>
      <x:c r="C408" t="s">
        <x:v>29</x:v>
      </x:c>
      <x:c r="D408" t="s">
        <x:v>83</x:v>
      </x:c>
      <x:c r="E408" t="s">
        <x:v>35</x:v>
      </x:c>
      <x:c r="F408">
        <x:v>115</x:v>
      </x:c>
      <x:c r="G408">
        <x:v>1215.4100000000001</x:v>
      </x:c>
      <x:c r="H408" t="s">
        <x:v>47</x:v>
      </x:c>
      <x:c r="I408" t="s">
        <x:v>41</x:v>
      </x:c>
      <x:c r="J408" s="1">
        <x:v>44816</x:v>
      </x:c>
      <x:c r="K408" t="s">
        <x:v>25</x:v>
      </x:c>
      <x:c r="L408" s="1">
        <x:v>45019</x:v>
      </x:c>
      <x:c r="M408" t="s">
        <x:v>86</x:v>
      </x:c>
      <x:c r="N408">
        <x:v>7</x:v>
      </x:c>
      <x:c r="O408">
        <x:v>4</x:v>
      </x:c>
      <x:c r="P408">
        <x:v>48</x:v>
      </x:c>
      <x:c r="Q408" t="s">
        <x:v>27</x:v>
      </x:c>
      <x:c r="R408" t="n">
        <x:f>IF(subscriptions[[#This Row],[churned]]="Yes",1,0)</x:f>
        <x:v>1</x:v>
      </x:c>
      <x:c r="S408" s="11" t="n">
        <x:f>IF(K408="Yes",(L408-J408)/30.4375,"")</x:f>
        <x:v>6.669404517453799</x:v>
      </x:c>
      <x:c r="T408" t="str">
        <x:f>IF(AND(K408="No",P408&lt;40,O408&lt;=4),"High Risk","")</x:f>
      </x:c>
    </x:row>
    <x:row r="409">
      <x:c r="A409" t="s">
        <x:v>466</x:v>
      </x:c>
      <x:c r="B409" t="s">
        <x:v>33</x:v>
      </x:c>
      <x:c r="C409" t="s">
        <x:v>20</x:v>
      </x:c>
      <x:c r="D409" t="s">
        <x:v>34</x:v>
      </x:c>
      <x:c r="E409" t="s">
        <x:v>22</x:v>
      </x:c>
      <x:c r="F409">
        <x:v>75</x:v>
      </x:c>
      <x:c r="G409">
        <x:v>350.9</x:v>
      </x:c>
      <x:c r="H409" t="s">
        <x:v>64</x:v>
      </x:c>
      <x:c r="I409" t="s">
        <x:v>24</x:v>
      </x:c>
      <x:c r="J409" s="1">
        <x:v>45944</x:v>
      </x:c>
      <x:c r="K409" t="s">
        <x:v>27</x:v>
      </x:c>
      <x:c r="M409"/>
      <x:c r="N409">
        <x:v>10</x:v>
      </x:c>
      <x:c r="O409">
        <x:v>8</x:v>
      </x:c>
      <x:c r="P409">
        <x:v>92</x:v>
      </x:c>
      <x:c r="Q409" t="s">
        <x:v>27</x:v>
      </x:c>
      <x:c r="R409" t="n">
        <x:f>IF(subscriptions[[#This Row],[churned]]="Yes",1,0)</x:f>
        <x:v>0</x:v>
      </x:c>
      <x:c r="S409" s="11" t="str">
        <x:f>IF(K409="Yes",(L409-J409)/30.4375,"")</x:f>
      </x:c>
      <x:c r="T409" t="str">
        <x:f>IF(AND(K409="No",P409&lt;40,O409&lt;=4),"High Risk","")</x:f>
      </x:c>
    </x:row>
    <x:row r="410">
      <x:c r="A410" t="s">
        <x:v>467</x:v>
      </x:c>
      <x:c r="B410" t="s">
        <x:v>33</x:v>
      </x:c>
      <x:c r="C410" t="s">
        <x:v>20</x:v>
      </x:c>
      <x:c r="D410" t="s">
        <x:v>43</x:v>
      </x:c>
      <x:c r="E410" t="s">
        <x:v>46</x:v>
      </x:c>
      <x:c r="F410">
        <x:v>8</x:v>
      </x:c>
      <x:c r="G410">
        <x:v>59.45</x:v>
      </x:c>
      <x:c r="H410" t="s">
        <x:v>47</x:v>
      </x:c>
      <x:c r="I410" t="s">
        <x:v>24</x:v>
      </x:c>
      <x:c r="J410" s="1">
        <x:v>45748</x:v>
      </x:c>
      <x:c r="K410" t="s">
        <x:v>25</x:v>
      </x:c>
      <x:c r="L410" s="1">
        <x:v>45766</x:v>
      </x:c>
      <x:c r="M410" t="s">
        <x:v>50</x:v>
      </x:c>
      <x:c r="N410">
        <x:v>11</x:v>
      </x:c>
      <x:c r="O410">
        <x:v>2</x:v>
      </x:c>
      <x:c r="P410">
        <x:v>27</x:v>
      </x:c>
      <x:c r="Q410" t="s">
        <x:v>27</x:v>
      </x:c>
      <x:c r="R410" t="n">
        <x:f>IF(subscriptions[[#This Row],[churned]]="Yes",1,0)</x:f>
        <x:v>1</x:v>
      </x:c>
      <x:c r="S410" s="11" t="n">
        <x:f>IF(K410="Yes",(L410-J410)/30.4375,"")</x:f>
        <x:v>0.5913757700205339</x:v>
      </x:c>
      <x:c r="T410" t="str">
        <x:f>IF(AND(K410="No",P410&lt;40,O410&lt;=4),"High Risk","")</x:f>
      </x:c>
    </x:row>
    <x:row r="411">
      <x:c r="A411" t="s">
        <x:v>468</x:v>
      </x:c>
      <x:c r="B411" t="s">
        <x:v>19</x:v>
      </x:c>
      <x:c r="C411" t="s">
        <x:v>20</x:v>
      </x:c>
      <x:c r="D411" t="s">
        <x:v>72</x:v>
      </x:c>
      <x:c r="E411" t="s">
        <x:v>49</x:v>
      </x:c>
      <x:c r="F411">
        <x:v>125</x:v>
      </x:c>
      <x:c r="G411">
        <x:v>1548.4</x:v>
      </x:c>
      <x:c r="H411" t="s">
        <x:v>47</x:v>
      </x:c>
      <x:c r="I411" t="s">
        <x:v>24</x:v>
      </x:c>
      <x:c r="J411" s="1">
        <x:v>44637</x:v>
      </x:c>
      <x:c r="K411" t="s">
        <x:v>25</x:v>
      </x:c>
      <x:c r="L411" s="1">
        <x:v>45096</x:v>
      </x:c>
      <x:c r="M411" t="s">
        <x:v>26</x:v>
      </x:c>
      <x:c r="N411">
        <x:v>14</x:v>
      </x:c>
      <x:c r="O411">
        <x:v>4</x:v>
      </x:c>
      <x:c r="P411">
        <x:v>12</x:v>
      </x:c>
      <x:c r="Q411" t="s">
        <x:v>27</x:v>
      </x:c>
      <x:c r="R411" t="n">
        <x:f>IF(subscriptions[[#This Row],[churned]]="Yes",1,0)</x:f>
        <x:v>1</x:v>
      </x:c>
      <x:c r="S411" s="11" t="n">
        <x:f>IF(K411="Yes",(L411-J411)/30.4375,"")</x:f>
        <x:v>15.080082135523615</x:v>
      </x:c>
      <x:c r="T411" t="str">
        <x:f>IF(AND(K411="No",P411&lt;40,O411&lt;=4),"High Risk","")</x:f>
      </x:c>
    </x:row>
    <x:row r="412">
      <x:c r="A412" t="s">
        <x:v>469</x:v>
      </x:c>
      <x:c r="B412" t="s">
        <x:v>19</x:v>
      </x:c>
      <x:c r="C412" t="s">
        <x:v>20</x:v>
      </x:c>
      <x:c r="D412" t="s">
        <x:v>34</x:v>
      </x:c>
      <x:c r="E412" t="s">
        <x:v>49</x:v>
      </x:c>
      <x:c r="F412">
        <x:v>92</x:v>
      </x:c>
      <x:c r="G412">
        <x:v>1157.3499999999999</x:v>
      </x:c>
      <x:c r="H412" t="s">
        <x:v>64</x:v>
      </x:c>
      <x:c r="I412" t="s">
        <x:v>41</x:v>
      </x:c>
      <x:c r="J412" s="1">
        <x:v>45532</x:v>
      </x:c>
      <x:c r="K412" t="s">
        <x:v>25</x:v>
      </x:c>
      <x:c r="L412" s="1">
        <x:v>45932</x:v>
      </x:c>
      <x:c r="M412" t="s">
        <x:v>26</x:v>
      </x:c>
      <x:c r="N412">
        <x:v>13</x:v>
      </x:c>
      <x:c r="O412">
        <x:v>1</x:v>
      </x:c>
      <x:c r="P412">
        <x:v>18</x:v>
      </x:c>
      <x:c r="Q412" t="s">
        <x:v>27</x:v>
      </x:c>
      <x:c r="R412" t="n">
        <x:f>IF(subscriptions[[#This Row],[churned]]="Yes",1,0)</x:f>
        <x:v>1</x:v>
      </x:c>
      <x:c r="S412" s="11" t="n">
        <x:f>IF(K412="Yes",(L412-J412)/30.4375,"")</x:f>
        <x:v>13.141683778234086</x:v>
      </x:c>
      <x:c r="T412" t="str">
        <x:f>IF(AND(K412="No",P412&lt;40,O412&lt;=4),"High Risk","")</x:f>
      </x:c>
    </x:row>
    <x:row r="413">
      <x:c r="A413" t="s">
        <x:v>470</x:v>
      </x:c>
      <x:c r="B413" t="s">
        <x:v>19</x:v>
      </x:c>
      <x:c r="C413" t="s">
        <x:v>20</x:v>
      </x:c>
      <x:c r="D413" t="s">
        <x:v>56</x:v>
      </x:c>
      <x:c r="E413" t="s">
        <x:v>22</x:v>
      </x:c>
      <x:c r="F413">
        <x:v>45</x:v>
      </x:c>
      <x:c r="G413">
        <x:v>600.4</x:v>
      </x:c>
      <x:c r="H413" t="s">
        <x:v>64</x:v>
      </x:c>
      <x:c r="I413" t="s">
        <x:v>24</x:v>
      </x:c>
      <x:c r="J413" s="1">
        <x:v>44890</x:v>
      </x:c>
      <x:c r="K413" t="s">
        <x:v>25</x:v>
      </x:c>
      <x:c r="L413" s="1">
        <x:v>45071</x:v>
      </x:c>
      <x:c r="M413" t="s">
        <x:v>67</x:v>
      </x:c>
      <x:c r="N413">
        <x:v>8</x:v>
      </x:c>
      <x:c r="O413">
        <x:v>4</x:v>
      </x:c>
      <x:c r="P413">
        <x:v>24</x:v>
      </x:c>
      <x:c r="Q413" t="s">
        <x:v>27</x:v>
      </x:c>
      <x:c r="R413" t="n">
        <x:f>IF(subscriptions[[#This Row],[churned]]="Yes",1,0)</x:f>
        <x:v>1</x:v>
      </x:c>
      <x:c r="S413" s="11" t="n">
        <x:f>IF(K413="Yes",(L413-J413)/30.4375,"")</x:f>
        <x:v>5.946611909650924</x:v>
      </x:c>
      <x:c r="T413" t="str">
        <x:f>IF(AND(K413="No",P413&lt;40,O413&lt;=4),"High Risk","")</x:f>
      </x:c>
    </x:row>
    <x:row r="414">
      <x:c r="A414" t="s">
        <x:v>471</x:v>
      </x:c>
      <x:c r="B414" t="s">
        <x:v>38</x:v>
      </x:c>
      <x:c r="C414" t="s">
        <x:v>29</x:v>
      </x:c>
      <x:c r="D414" t="s">
        <x:v>39</x:v>
      </x:c>
      <x:c r="E414" t="s">
        <x:v>49</x:v>
      </x:c>
      <x:c r="F414">
        <x:v>49</x:v>
      </x:c>
      <x:c r="G414">
        <x:v>1387.03</x:v>
      </x:c>
      <x:c r="H414" t="s">
        <x:v>36</x:v>
      </x:c>
      <x:c r="I414" t="s">
        <x:v>59</x:v>
      </x:c>
      <x:c r="J414" s="1">
        <x:v>44847</x:v>
      </x:c>
      <x:c r="K414" t="s">
        <x:v>27</x:v>
      </x:c>
      <x:c r="M414"/>
      <x:c r="N414">
        <x:v>0</x:v>
      </x:c>
      <x:c r="O414">
        <x:v>9</x:v>
      </x:c>
      <x:c r="P414">
        <x:v>95</x:v>
      </x:c>
      <x:c r="Q414" t="s">
        <x:v>27</x:v>
      </x:c>
      <x:c r="R414" t="n">
        <x:f>IF(subscriptions[[#This Row],[churned]]="Yes",1,0)</x:f>
        <x:v>0</x:v>
      </x:c>
      <x:c r="S414" s="11" t="str">
        <x:f>IF(K414="Yes",(L414-J414)/30.4375,"")</x:f>
      </x:c>
      <x:c r="T414" t="str">
        <x:f>IF(AND(K414="No",P414&lt;40,O414&lt;=4),"High Risk","")</x:f>
      </x:c>
    </x:row>
    <x:row r="415">
      <x:c r="A415" t="s">
        <x:v>472</x:v>
      </x:c>
      <x:c r="B415" t="s">
        <x:v>38</x:v>
      </x:c>
      <x:c r="C415" t="s">
        <x:v>20</x:v>
      </x:c>
      <x:c r="D415" t="s">
        <x:v>39</x:v>
      </x:c>
      <x:c r="E415" t="s">
        <x:v>49</x:v>
      </x:c>
      <x:c r="F415">
        <x:v>137</x:v>
      </x:c>
      <x:c r="G415">
        <x:v>4258.6000000000004</x:v>
      </x:c>
      <x:c r="H415" t="s">
        <x:v>47</x:v>
      </x:c>
      <x:c r="I415" t="s">
        <x:v>59</x:v>
      </x:c>
      <x:c r="J415" s="1">
        <x:v>45130</x:v>
      </x:c>
      <x:c r="K415" t="s">
        <x:v>25</x:v>
      </x:c>
      <x:c r="L415" s="1">
        <x:v>45516</x:v>
      </x:c>
      <x:c r="M415" t="s">
        <x:v>86</x:v>
      </x:c>
      <x:c r="N415">
        <x:v>15</x:v>
      </x:c>
      <x:c r="O415">
        <x:v>1</x:v>
      </x:c>
      <x:c r="P415">
        <x:v>25</x:v>
      </x:c>
      <x:c r="Q415" t="s">
        <x:v>27</x:v>
      </x:c>
      <x:c r="R415" t="n">
        <x:f>IF(subscriptions[[#This Row],[churned]]="Yes",1,0)</x:f>
        <x:v>1</x:v>
      </x:c>
      <x:c r="S415" s="11" t="n">
        <x:f>IF(K415="Yes",(L415-J415)/30.4375,"")</x:f>
        <x:v>12.681724845995893</x:v>
      </x:c>
      <x:c r="T415" t="str">
        <x:f>IF(AND(K415="No",P415&lt;40,O415&lt;=4),"High Risk","")</x:f>
      </x:c>
    </x:row>
    <x:row r="416">
      <x:c r="A416" t="s">
        <x:v>473</x:v>
      </x:c>
      <x:c r="B416" t="s">
        <x:v>33</x:v>
      </x:c>
      <x:c r="C416" t="s">
        <x:v>20</x:v>
      </x:c>
      <x:c r="D416" t="s">
        <x:v>21</x:v>
      </x:c>
      <x:c r="E416" t="s">
        <x:v>40</x:v>
      </x:c>
      <x:c r="F416">
        <x:v>13</x:v>
      </x:c>
      <x:c r="G416">
        <x:v>81.2</x:v>
      </x:c>
      <x:c r="H416" t="s">
        <x:v>102</x:v>
      </x:c>
      <x:c r="I416" t="s">
        <x:v>41</x:v>
      </x:c>
      <x:c r="J416" s="1">
        <x:v>45543</x:v>
      </x:c>
      <x:c r="K416" t="s">
        <x:v>25</x:v>
      </x:c>
      <x:c r="L416" s="1">
        <x:v>45580</x:v>
      </x:c>
      <x:c r="M416" t="s">
        <x:v>54</x:v>
      </x:c>
      <x:c r="N416">
        <x:v>7</x:v>
      </x:c>
      <x:c r="O416">
        <x:v>3</x:v>
      </x:c>
      <x:c r="P416">
        <x:v>45</x:v>
      </x:c>
      <x:c r="Q416" t="s">
        <x:v>27</x:v>
      </x:c>
      <x:c r="R416" t="n">
        <x:f>IF(subscriptions[[#This Row],[churned]]="Yes",1,0)</x:f>
        <x:v>1</x:v>
      </x:c>
      <x:c r="S416" s="11" t="n">
        <x:f>IF(K416="Yes",(L416-J416)/30.4375,"")</x:f>
        <x:v>1.215605749486653</x:v>
      </x:c>
      <x:c r="T416" t="str">
        <x:f>IF(AND(K416="No",P416&lt;40,O416&lt;=4),"High Risk","")</x:f>
      </x:c>
    </x:row>
    <x:row r="417">
      <x:c r="A417" t="s">
        <x:v>474</x:v>
      </x:c>
      <x:c r="B417" t="s">
        <x:v>38</x:v>
      </x:c>
      <x:c r="C417" t="s">
        <x:v>29</x:v>
      </x:c>
      <x:c r="D417" t="s">
        <x:v>43</x:v>
      </x:c>
      <x:c r="E417" t="s">
        <x:v>40</x:v>
      </x:c>
      <x:c r="F417">
        <x:v>14</x:v>
      </x:c>
      <x:c r="G417">
        <x:v>498.99</x:v>
      </x:c>
      <x:c r="H417" t="s">
        <x:v>102</x:v>
      </x:c>
      <x:c r="I417" t="s">
        <x:v>41</x:v>
      </x:c>
      <x:c r="J417" s="1">
        <x:v>45706</x:v>
      </x:c>
      <x:c r="K417" t="s">
        <x:v>25</x:v>
      </x:c>
      <x:c r="L417" s="1">
        <x:v>45795</x:v>
      </x:c>
      <x:c r="M417" t="s">
        <x:v>86</x:v>
      </x:c>
      <x:c r="N417">
        <x:v>13</x:v>
      </x:c>
      <x:c r="O417">
        <x:v>1</x:v>
      </x:c>
      <x:c r="P417">
        <x:v>33</x:v>
      </x:c>
      <x:c r="Q417" t="s">
        <x:v>27</x:v>
      </x:c>
      <x:c r="R417" t="n">
        <x:f>IF(subscriptions[[#This Row],[churned]]="Yes",1,0)</x:f>
        <x:v>1</x:v>
      </x:c>
      <x:c r="S417" s="11" t="n">
        <x:f>IF(K417="Yes",(L417-J417)/30.4375,"")</x:f>
        <x:v>2.924024640657084</x:v>
      </x:c>
      <x:c r="T417" t="str">
        <x:f>IF(AND(K417="No",P417&lt;40,O417&lt;=4),"High Risk","")</x:f>
      </x:c>
    </x:row>
    <x:row r="418">
      <x:c r="A418" t="s">
        <x:v>475</x:v>
      </x:c>
      <x:c r="B418" t="s">
        <x:v>33</x:v>
      </x:c>
      <x:c r="C418" t="s">
        <x:v>29</x:v>
      </x:c>
      <x:c r="D418" t="s">
        <x:v>39</x:v>
      </x:c>
      <x:c r="E418" t="s">
        <x:v>40</x:v>
      </x:c>
      <x:c r="F418">
        <x:v>18</x:v>
      </x:c>
      <x:c r="G418">
        <x:v>87.51</x:v>
      </x:c>
      <x:c r="H418" t="s">
        <x:v>23</x:v>
      </x:c>
      <x:c r="I418" t="s">
        <x:v>73</x:v>
      </x:c>
      <x:c r="J418" s="1">
        <x:v>45521</x:v>
      </x:c>
      <x:c r="K418" t="s">
        <x:v>25</x:v>
      </x:c>
      <x:c r="L418" s="1">
        <x:v>45595</x:v>
      </x:c>
      <x:c r="M418" t="s">
        <x:v>26</x:v>
      </x:c>
      <x:c r="N418">
        <x:v>10</x:v>
      </x:c>
      <x:c r="O418">
        <x:v>1</x:v>
      </x:c>
      <x:c r="P418">
        <x:v>36</x:v>
      </x:c>
      <x:c r="Q418" t="s">
        <x:v>27</x:v>
      </x:c>
      <x:c r="R418" t="n">
        <x:f>IF(subscriptions[[#This Row],[churned]]="Yes",1,0)</x:f>
        <x:v>1</x:v>
      </x:c>
      <x:c r="S418" s="11" t="n">
        <x:f>IF(K418="Yes",(L418-J418)/30.4375,"")</x:f>
        <x:v>2.431211498973306</x:v>
      </x:c>
      <x:c r="T418" t="str">
        <x:f>IF(AND(K418="No",P418&lt;40,O418&lt;=4),"High Risk","")</x:f>
      </x:c>
    </x:row>
    <x:row r="419">
      <x:c r="A419" t="s">
        <x:v>476</x:v>
      </x:c>
      <x:c r="B419" t="s">
        <x:v>33</x:v>
      </x:c>
      <x:c r="C419" t="s">
        <x:v>20</x:v>
      </x:c>
      <x:c r="D419" t="s">
        <x:v>83</x:v>
      </x:c>
      <x:c r="E419" t="s">
        <x:v>46</x:v>
      </x:c>
      <x:c r="F419">
        <x:v>2</x:v>
      </x:c>
      <x:c r="G419">
        <x:v>33.35</x:v>
      </x:c>
      <x:c r="H419" t="s">
        <x:v>102</x:v>
      </x:c>
      <x:c r="I419" t="s">
        <x:v>73</x:v>
      </x:c>
      <x:c r="J419" s="1">
        <x:v>44839</x:v>
      </x:c>
      <x:c r="K419" t="s">
        <x:v>25</x:v>
      </x:c>
      <x:c r="L419" s="1">
        <x:v>45110</x:v>
      </x:c>
      <x:c r="M419" t="s">
        <x:v>54</x:v>
      </x:c>
      <x:c r="N419">
        <x:v>11</x:v>
      </x:c>
      <x:c r="O419">
        <x:v>1</x:v>
      </x:c>
      <x:c r="P419">
        <x:v>37</x:v>
      </x:c>
      <x:c r="Q419" t="s">
        <x:v>27</x:v>
      </x:c>
      <x:c r="R419" t="n">
        <x:f>IF(subscriptions[[#This Row],[churned]]="Yes",1,0)</x:f>
        <x:v>1</x:v>
      </x:c>
      <x:c r="S419" s="11" t="n">
        <x:f>IF(K419="Yes",(L419-J419)/30.4375,"")</x:f>
        <x:v>8.903490759753593</x:v>
      </x:c>
      <x:c r="T419" t="str">
        <x:f>IF(AND(K419="No",P419&lt;40,O419&lt;=4),"High Risk","")</x:f>
      </x:c>
    </x:row>
    <x:row r="420">
      <x:c r="A420" t="s">
        <x:v>477</x:v>
      </x:c>
      <x:c r="B420" t="s">
        <x:v>19</x:v>
      </x:c>
      <x:c r="C420" t="s">
        <x:v>29</x:v>
      </x:c>
      <x:c r="D420" t="s">
        <x:v>43</x:v>
      </x:c>
      <x:c r="E420" t="s">
        <x:v>49</x:v>
      </x:c>
      <x:c r="F420">
        <x:v>143</x:v>
      </x:c>
      <x:c r="G420">
        <x:v>1497.45</x:v>
      </x:c>
      <x:c r="H420" t="s">
        <x:v>23</x:v>
      </x:c>
      <x:c r="I420" t="s">
        <x:v>41</x:v>
      </x:c>
      <x:c r="J420" s="1">
        <x:v>44655</x:v>
      </x:c>
      <x:c r="K420" t="s">
        <x:v>27</x:v>
      </x:c>
      <x:c r="M420"/>
      <x:c r="N420">
        <x:v>2</x:v>
      </x:c>
      <x:c r="O420">
        <x:v>9</x:v>
      </x:c>
      <x:c r="P420">
        <x:v>29</x:v>
      </x:c>
      <x:c r="Q420" t="s">
        <x:v>25</x:v>
      </x:c>
      <x:c r="R420" t="n">
        <x:f>IF(subscriptions[[#This Row],[churned]]="Yes",1,0)</x:f>
        <x:v>0</x:v>
      </x:c>
      <x:c r="S420" s="11" t="str">
        <x:f>IF(K420="Yes",(L420-J420)/30.4375,"")</x:f>
      </x:c>
      <x:c r="T420" t="str">
        <x:f>IF(AND(K420="No",P420&lt;40,O420&lt;=4),"High Risk","")</x:f>
      </x:c>
    </x:row>
    <x:row r="421">
      <x:c r="A421" t="s">
        <x:v>478</x:v>
      </x:c>
      <x:c r="B421" t="s">
        <x:v>19</x:v>
      </x:c>
      <x:c r="C421" t="s">
        <x:v>20</x:v>
      </x:c>
      <x:c r="D421" t="s">
        <x:v>21</x:v>
      </x:c>
      <x:c r="E421" t="s">
        <x:v>46</x:v>
      </x:c>
      <x:c r="F421">
        <x:v>8</x:v>
      </x:c>
      <x:c r="G421">
        <x:v>161.94999999999999</x:v>
      </x:c>
      <x:c r="H421" t="s">
        <x:v>47</x:v>
      </x:c>
      <x:c r="I421" t="s">
        <x:v>24</x:v>
      </x:c>
      <x:c r="J421" s="1">
        <x:v>44627</x:v>
      </x:c>
      <x:c r="K421" t="s">
        <x:v>25</x:v>
      </x:c>
      <x:c r="L421" s="1">
        <x:v>45349</x:v>
      </x:c>
      <x:c r="M421" t="s">
        <x:v>86</x:v>
      </x:c>
      <x:c r="N421">
        <x:v>7</x:v>
      </x:c>
      <x:c r="O421">
        <x:v>2</x:v>
      </x:c>
      <x:c r="P421">
        <x:v>10</x:v>
      </x:c>
      <x:c r="Q421" t="s">
        <x:v>27</x:v>
      </x:c>
      <x:c r="R421" t="n">
        <x:f>IF(subscriptions[[#This Row],[churned]]="Yes",1,0)</x:f>
        <x:v>1</x:v>
      </x:c>
      <x:c r="S421" s="11" t="n">
        <x:f>IF(K421="Yes",(L421-J421)/30.4375,"")</x:f>
        <x:v>23.720739219712527</x:v>
      </x:c>
      <x:c r="T421" t="str">
        <x:f>IF(AND(K421="No",P421&lt;40,O421&lt;=4),"High Risk","")</x:f>
      </x:c>
    </x:row>
    <x:row r="422">
      <x:c r="A422" t="s">
        <x:v>479</x:v>
      </x:c>
      <x:c r="B422" t="s">
        <x:v>19</x:v>
      </x:c>
      <x:c r="C422" t="s">
        <x:v>20</x:v>
      </x:c>
      <x:c r="D422" t="s">
        <x:v>43</x:v>
      </x:c>
      <x:c r="E422" t="s">
        <x:v>35</x:v>
      </x:c>
      <x:c r="F422">
        <x:v>185</x:v>
      </x:c>
      <x:c r="G422">
        <x:v>2259.4</x:v>
      </x:c>
      <x:c r="H422" t="s">
        <x:v>64</x:v>
      </x:c>
      <x:c r="I422" t="s">
        <x:v>24</x:v>
      </x:c>
      <x:c r="J422" s="1">
        <x:v>44830</x:v>
      </x:c>
      <x:c r="K422" t="s">
        <x:v>25</x:v>
      </x:c>
      <x:c r="L422" s="1">
        <x:v>44953</x:v>
      </x:c>
      <x:c r="M422" t="s">
        <x:v>50</x:v>
      </x:c>
      <x:c r="N422">
        <x:v>10</x:v>
      </x:c>
      <x:c r="O422">
        <x:v>6</x:v>
      </x:c>
      <x:c r="P422">
        <x:v>29</x:v>
      </x:c>
      <x:c r="Q422" t="s">
        <x:v>27</x:v>
      </x:c>
      <x:c r="R422" t="n">
        <x:f>IF(subscriptions[[#This Row],[churned]]="Yes",1,0)</x:f>
        <x:v>1</x:v>
      </x:c>
      <x:c r="S422" s="11" t="n">
        <x:f>IF(K422="Yes",(L422-J422)/30.4375,"")</x:f>
        <x:v>4.041067761806982</x:v>
      </x:c>
      <x:c r="T422" t="str">
        <x:f>IF(AND(K422="No",P422&lt;40,O422&lt;=4),"High Risk","")</x:f>
      </x:c>
    </x:row>
    <x:row r="423">
      <x:c r="A423" t="s">
        <x:v>480</x:v>
      </x:c>
      <x:c r="B423" t="s">
        <x:v>19</x:v>
      </x:c>
      <x:c r="C423" t="s">
        <x:v>20</x:v>
      </x:c>
      <x:c r="D423" t="s">
        <x:v>83</x:v>
      </x:c>
      <x:c r="E423" t="s">
        <x:v>22</x:v>
      </x:c>
      <x:c r="F423">
        <x:v>59</x:v>
      </x:c>
      <x:c r="G423">
        <x:v>766.3</x:v>
      </x:c>
      <x:c r="H423" t="s">
        <x:v>102</x:v>
      </x:c>
      <x:c r="I423" t="s">
        <x:v>24</x:v>
      </x:c>
      <x:c r="J423" s="1">
        <x:v>45030</x:v>
      </x:c>
      <x:c r="K423" t="s">
        <x:v>27</x:v>
      </x:c>
      <x:c r="M423"/>
      <x:c r="N423">
        <x:v>3</x:v>
      </x:c>
      <x:c r="O423">
        <x:v>7</x:v>
      </x:c>
      <x:c r="P423">
        <x:v>92</x:v>
      </x:c>
      <x:c r="Q423" t="s">
        <x:v>25</x:v>
      </x:c>
      <x:c r="R423" t="n">
        <x:f>IF(subscriptions[[#This Row],[churned]]="Yes",1,0)</x:f>
        <x:v>0</x:v>
      </x:c>
      <x:c r="S423" s="11" t="str">
        <x:f>IF(K423="Yes",(L423-J423)/30.4375,"")</x:f>
      </x:c>
      <x:c r="T423" t="str">
        <x:f>IF(AND(K423="No",P423&lt;40,O423&lt;=4),"High Risk","")</x:f>
      </x:c>
    </x:row>
    <x:row r="424">
      <x:c r="A424" t="s">
        <x:v>481</x:v>
      </x:c>
      <x:c r="B424" t="s">
        <x:v>33</x:v>
      </x:c>
      <x:c r="C424" t="s">
        <x:v>20</x:v>
      </x:c>
      <x:c r="D424" t="s">
        <x:v>43</x:v>
      </x:c>
      <x:c r="E424" t="s">
        <x:v>40</x:v>
      </x:c>
      <x:c r="F424">
        <x:v>15</x:v>
      </x:c>
      <x:c r="G424">
        <x:v>89.9</x:v>
      </x:c>
      <x:c r="H424" t="s">
        <x:v>47</x:v>
      </x:c>
      <x:c r="I424" t="s">
        <x:v>41</x:v>
      </x:c>
      <x:c r="J424" s="1">
        <x:v>45228</x:v>
      </x:c>
      <x:c r="K424" t="s">
        <x:v>25</x:v>
      </x:c>
      <x:c r="L424" s="1">
        <x:v>45468</x:v>
      </x:c>
      <x:c r="M424" t="s">
        <x:v>26</x:v>
      </x:c>
      <x:c r="N424">
        <x:v>4</x:v>
      </x:c>
      <x:c r="O424">
        <x:v>5</x:v>
      </x:c>
      <x:c r="P424">
        <x:v>20</x:v>
      </x:c>
      <x:c r="Q424" t="s">
        <x:v>27</x:v>
      </x:c>
      <x:c r="R424" t="n">
        <x:f>IF(subscriptions[[#This Row],[churned]]="Yes",1,0)</x:f>
        <x:v>1</x:v>
      </x:c>
      <x:c r="S424" s="11" t="n">
        <x:f>IF(K424="Yes",(L424-J424)/30.4375,"")</x:f>
        <x:v>7.885010266940451</x:v>
      </x:c>
      <x:c r="T424" t="str">
        <x:f>IF(AND(K424="No",P424&lt;40,O424&lt;=4),"High Risk","")</x:f>
      </x:c>
    </x:row>
    <x:row r="425">
      <x:c r="A425" t="s">
        <x:v>482</x:v>
      </x:c>
      <x:c r="B425" t="s">
        <x:v>33</x:v>
      </x:c>
      <x:c r="C425" t="s">
        <x:v>20</x:v>
      </x:c>
      <x:c r="D425" t="s">
        <x:v>53</x:v>
      </x:c>
      <x:c r="E425" t="s">
        <x:v>46</x:v>
      </x:c>
      <x:c r="F425">
        <x:v>5</x:v>
      </x:c>
      <x:c r="G425">
        <x:v>46.4</x:v>
      </x:c>
      <x:c r="H425" t="s">
        <x:v>47</x:v>
      </x:c>
      <x:c r="I425" t="s">
        <x:v>41</x:v>
      </x:c>
      <x:c r="J425" s="1">
        <x:v>45041</x:v>
      </x:c>
      <x:c r="K425" t="s">
        <x:v>25</x:v>
      </x:c>
      <x:c r="L425" s="1">
        <x:v>45525</x:v>
      </x:c>
      <x:c r="M425" t="s">
        <x:v>57</x:v>
      </x:c>
      <x:c r="N425">
        <x:v>11</x:v>
      </x:c>
      <x:c r="O425">
        <x:v>6</x:v>
      </x:c>
      <x:c r="P425">
        <x:v>50</x:v>
      </x:c>
      <x:c r="Q425" t="s">
        <x:v>27</x:v>
      </x:c>
      <x:c r="R425" t="n">
        <x:f>IF(subscriptions[[#This Row],[churned]]="Yes",1,0)</x:f>
        <x:v>1</x:v>
      </x:c>
      <x:c r="S425" s="11" t="n">
        <x:f>IF(K425="Yes",(L425-J425)/30.4375,"")</x:f>
        <x:v>15.901437371663244</x:v>
      </x:c>
      <x:c r="T425" t="str">
        <x:f>IF(AND(K425="No",P425&lt;40,O425&lt;=4),"High Risk","")</x:f>
      </x:c>
    </x:row>
    <x:row r="426">
      <x:c r="A426" t="s">
        <x:v>483</x:v>
      </x:c>
      <x:c r="B426" t="s">
        <x:v>33</x:v>
      </x:c>
      <x:c r="C426" t="s">
        <x:v>20</x:v>
      </x:c>
      <x:c r="D426" t="s">
        <x:v>45</x:v>
      </x:c>
      <x:c r="E426" t="s">
        <x:v>46</x:v>
      </x:c>
      <x:c r="F426">
        <x:v>6</x:v>
      </x:c>
      <x:c r="G426">
        <x:v>50.75</x:v>
      </x:c>
      <x:c r="H426" t="s">
        <x:v>47</x:v>
      </x:c>
      <x:c r="I426" t="s">
        <x:v>59</x:v>
      </x:c>
      <x:c r="J426" s="1">
        <x:v>45731</x:v>
      </x:c>
      <x:c r="K426" t="s">
        <x:v>25</x:v>
      </x:c>
      <x:c r="L426" s="1">
        <x:v>45869</x:v>
      </x:c>
      <x:c r="M426" t="s">
        <x:v>67</x:v>
      </x:c>
      <x:c r="N426">
        <x:v>6</x:v>
      </x:c>
      <x:c r="O426">
        <x:v>2</x:v>
      </x:c>
      <x:c r="P426">
        <x:v>22</x:v>
      </x:c>
      <x:c r="Q426" t="s">
        <x:v>27</x:v>
      </x:c>
      <x:c r="R426" t="n">
        <x:f>IF(subscriptions[[#This Row],[churned]]="Yes",1,0)</x:f>
        <x:v>1</x:v>
      </x:c>
      <x:c r="S426" s="11" t="n">
        <x:f>IF(K426="Yes",(L426-J426)/30.4375,"")</x:f>
        <x:v>4.5338809034907595</x:v>
      </x:c>
      <x:c r="T426" t="str">
        <x:f>IF(AND(K426="No",P426&lt;40,O426&lt;=4),"High Risk","")</x:f>
      </x:c>
    </x:row>
    <x:row r="427">
      <x:c r="A427" t="s">
        <x:v>484</x:v>
      </x:c>
      <x:c r="B427" t="s">
        <x:v>38</x:v>
      </x:c>
      <x:c r="C427" t="s">
        <x:v>20</x:v>
      </x:c>
      <x:c r="D427" t="s">
        <x:v>66</x:v>
      </x:c>
      <x:c r="E427" t="s">
        <x:v>46</x:v>
      </x:c>
      <x:c r="F427">
        <x:v>7</x:v>
      </x:c>
      <x:c r="G427">
        <x:v>378.1</x:v>
      </x:c>
      <x:c r="H427" t="s">
        <x:v>23</x:v>
      </x:c>
      <x:c r="I427" t="s">
        <x:v>24</x:v>
      </x:c>
      <x:c r="J427" s="1">
        <x:v>45357</x:v>
      </x:c>
      <x:c r="K427" t="s">
        <x:v>27</x:v>
      </x:c>
      <x:c r="M427"/>
      <x:c r="N427">
        <x:v>10</x:v>
      </x:c>
      <x:c r="O427">
        <x:v>10</x:v>
      </x:c>
      <x:c r="P427">
        <x:v>68</x:v>
      </x:c>
      <x:c r="Q427" t="s">
        <x:v>25</x:v>
      </x:c>
      <x:c r="R427" t="n">
        <x:f>IF(subscriptions[[#This Row],[churned]]="Yes",1,0)</x:f>
        <x:v>0</x:v>
      </x:c>
      <x:c r="S427" s="11" t="str">
        <x:f>IF(K427="Yes",(L427-J427)/30.4375,"")</x:f>
      </x:c>
      <x:c r="T427" t="str">
        <x:f>IF(AND(K427="No",P427&lt;40,O427&lt;=4),"High Risk","")</x:f>
      </x:c>
    </x:row>
    <x:row r="428">
      <x:c r="A428" t="s">
        <x:v>485</x:v>
      </x:c>
      <x:c r="B428" t="s">
        <x:v>33</x:v>
      </x:c>
      <x:c r="C428" t="s">
        <x:v>29</x:v>
      </x:c>
      <x:c r="D428" t="s">
        <x:v>39</x:v>
      </x:c>
      <x:c r="E428" t="s">
        <x:v>22</x:v>
      </x:c>
      <x:c r="F428">
        <x:v>79</x:v>
      </x:c>
      <x:c r="G428">
        <x:v>313.05</x:v>
      </x:c>
      <x:c r="H428" t="s">
        <x:v>64</x:v>
      </x:c>
      <x:c r="I428" t="s">
        <x:v>73</x:v>
      </x:c>
      <x:c r="J428" s="1">
        <x:v>45651</x:v>
      </x:c>
      <x:c r="K428" t="s">
        <x:v>27</x:v>
      </x:c>
      <x:c r="M428"/>
      <x:c r="N428">
        <x:v>6</x:v>
      </x:c>
      <x:c r="O428">
        <x:v>7</x:v>
      </x:c>
      <x:c r="P428">
        <x:v>37</x:v>
      </x:c>
      <x:c r="Q428" t="s">
        <x:v>27</x:v>
      </x:c>
      <x:c r="R428" t="n">
        <x:f>IF(subscriptions[[#This Row],[churned]]="Yes",1,0)</x:f>
        <x:v>0</x:v>
      </x:c>
      <x:c r="S428" s="11" t="str">
        <x:f>IF(K428="Yes",(L428-J428)/30.4375,"")</x:f>
      </x:c>
      <x:c r="T428" t="str">
        <x:f>IF(AND(K428="No",P428&lt;40,O428&lt;=4),"High Risk","")</x:f>
      </x:c>
    </x:row>
    <x:row r="429">
      <x:c r="A429" t="s">
        <x:v>486</x:v>
      </x:c>
      <x:c r="B429" t="s">
        <x:v>33</x:v>
      </x:c>
      <x:c r="C429" t="s">
        <x:v>20</x:v>
      </x:c>
      <x:c r="D429" t="s">
        <x:v>39</x:v>
      </x:c>
      <x:c r="E429" t="s">
        <x:v>40</x:v>
      </x:c>
      <x:c r="F429">
        <x:v>11</x:v>
      </x:c>
      <x:c r="G429">
        <x:v>72.5</x:v>
      </x:c>
      <x:c r="H429" t="s">
        <x:v>23</x:v>
      </x:c>
      <x:c r="I429" t="s">
        <x:v>24</x:v>
      </x:c>
      <x:c r="J429" s="1">
        <x:v>45948</x:v>
      </x:c>
      <x:c r="K429" t="s">
        <x:v>27</x:v>
      </x:c>
      <x:c r="M429"/>
      <x:c r="N429">
        <x:v>1</x:v>
      </x:c>
      <x:c r="O429">
        <x:v>4</x:v>
      </x:c>
      <x:c r="P429">
        <x:v>24</x:v>
      </x:c>
      <x:c r="Q429" t="s">
        <x:v>27</x:v>
      </x:c>
      <x:c r="R429" t="n">
        <x:f>IF(subscriptions[[#This Row],[churned]]="Yes",1,0)</x:f>
        <x:v>0</x:v>
      </x:c>
      <x:c r="S429" s="11" t="str">
        <x:f>IF(K429="Yes",(L429-J429)/30.4375,"")</x:f>
      </x:c>
      <x:c r="T429" t="str">
        <x:f>IF(AND(K429="No",P429&lt;40,O429&lt;=4),"High Risk","")</x:f>
        <x:v>High Risk</x:v>
      </x:c>
    </x:row>
    <x:row r="430">
      <x:c r="A430" t="s">
        <x:v>487</x:v>
      </x:c>
      <x:c r="B430" t="s">
        <x:v>19</x:v>
      </x:c>
      <x:c r="C430" t="s">
        <x:v>20</x:v>
      </x:c>
      <x:c r="D430" t="s">
        <x:v>53</x:v>
      </x:c>
      <x:c r="E430" t="s">
        <x:v>40</x:v>
      </x:c>
      <x:c r="F430">
        <x:v>15</x:v>
      </x:c>
      <x:c r="G430">
        <x:v>244.9</x:v>
      </x:c>
      <x:c r="H430" t="s">
        <x:v>64</x:v>
      </x:c>
      <x:c r="I430" t="s">
        <x:v>41</x:v>
      </x:c>
      <x:c r="J430" s="1">
        <x:v>45817</x:v>
      </x:c>
      <x:c r="K430" t="s">
        <x:v>27</x:v>
      </x:c>
      <x:c r="M430"/>
      <x:c r="N430">
        <x:v>8</x:v>
      </x:c>
      <x:c r="O430">
        <x:v>5</x:v>
      </x:c>
      <x:c r="P430">
        <x:v>32</x:v>
      </x:c>
      <x:c r="Q430" t="s">
        <x:v>27</x:v>
      </x:c>
      <x:c r="R430" t="n">
        <x:f>IF(subscriptions[[#This Row],[churned]]="Yes",1,0)</x:f>
        <x:v>0</x:v>
      </x:c>
      <x:c r="S430" s="11" t="str">
        <x:f>IF(K430="Yes",(L430-J430)/30.4375,"")</x:f>
      </x:c>
      <x:c r="T430" t="str">
        <x:f>IF(AND(K430="No",P430&lt;40,O430&lt;=4),"High Risk","")</x:f>
      </x:c>
    </x:row>
    <x:row r="431">
      <x:c r="A431" t="s">
        <x:v>488</x:v>
      </x:c>
      <x:c r="B431" t="s">
        <x:v>38</x:v>
      </x:c>
      <x:c r="C431" t="s">
        <x:v>20</x:v>
      </x:c>
      <x:c r="D431" t="s">
        <x:v>66</x:v>
      </x:c>
      <x:c r="E431" t="s">
        <x:v>40</x:v>
      </x:c>
      <x:c r="F431">
        <x:v>20</x:v>
      </x:c>
      <x:c r="G431">
        <x:v>766.15</x:v>
      </x:c>
      <x:c r="H431" t="s">
        <x:v>47</x:v>
      </x:c>
      <x:c r="I431" t="s">
        <x:v>41</x:v>
      </x:c>
      <x:c r="J431" s="1">
        <x:v>45966</x:v>
      </x:c>
      <x:c r="K431" t="s">
        <x:v>27</x:v>
      </x:c>
      <x:c r="M431"/>
      <x:c r="N431">
        <x:v>2</x:v>
      </x:c>
      <x:c r="O431">
        <x:v>9</x:v>
      </x:c>
      <x:c r="P431">
        <x:v>39</x:v>
      </x:c>
      <x:c r="Q431" t="s">
        <x:v>27</x:v>
      </x:c>
      <x:c r="R431" t="n">
        <x:f>IF(subscriptions[[#This Row],[churned]]="Yes",1,0)</x:f>
        <x:v>0</x:v>
      </x:c>
      <x:c r="S431" s="11" t="str">
        <x:f>IF(K431="Yes",(L431-J431)/30.4375,"")</x:f>
      </x:c>
      <x:c r="T431" t="str">
        <x:f>IF(AND(K431="No",P431&lt;40,O431&lt;=4),"High Risk","")</x:f>
      </x:c>
    </x:row>
    <x:row r="432">
      <x:c r="A432" t="s">
        <x:v>489</x:v>
      </x:c>
      <x:c r="B432" t="s">
        <x:v>33</x:v>
      </x:c>
      <x:c r="C432" t="s">
        <x:v>29</x:v>
      </x:c>
      <x:c r="D432" t="s">
        <x:v>39</x:v>
      </x:c>
      <x:c r="E432" t="s">
        <x:v>40</x:v>
      </x:c>
      <x:c r="F432">
        <x:v>27</x:v>
      </x:c>
      <x:c r="G432">
        <x:v>120.78</x:v>
      </x:c>
      <x:c r="H432" t="s">
        <x:v>23</x:v>
      </x:c>
      <x:c r="I432" t="s">
        <x:v>59</x:v>
      </x:c>
      <x:c r="J432" s="1">
        <x:v>45933</x:v>
      </x:c>
      <x:c r="K432" t="s">
        <x:v>27</x:v>
      </x:c>
      <x:c r="M432"/>
      <x:c r="N432">
        <x:v>3</x:v>
      </x:c>
      <x:c r="O432">
        <x:v>8</x:v>
      </x:c>
      <x:c r="P432">
        <x:v>22</x:v>
      </x:c>
      <x:c r="Q432" t="s">
        <x:v>27</x:v>
      </x:c>
      <x:c r="R432" t="n">
        <x:f>IF(subscriptions[[#This Row],[churned]]="Yes",1,0)</x:f>
        <x:v>0</x:v>
      </x:c>
      <x:c r="S432" s="11" t="str">
        <x:f>IF(K432="Yes",(L432-J432)/30.4375,"")</x:f>
      </x:c>
      <x:c r="T432" t="str">
        <x:f>IF(AND(K432="No",P432&lt;40,O432&lt;=4),"High Risk","")</x:f>
      </x:c>
    </x:row>
    <x:row r="433">
      <x:c r="A433" t="s">
        <x:v>490</x:v>
      </x:c>
      <x:c r="B433" t="s">
        <x:v>19</x:v>
      </x:c>
      <x:c r="C433" t="s">
        <x:v>29</x:v>
      </x:c>
      <x:c r="D433" t="s">
        <x:v>66</x:v>
      </x:c>
      <x:c r="E433" t="s">
        <x:v>22</x:v>
      </x:c>
      <x:c r="F433">
        <x:v>28</x:v>
      </x:c>
      <x:c r="G433">
        <x:v>339.11</x:v>
      </x:c>
      <x:c r="H433" t="s">
        <x:v>23</x:v>
      </x:c>
      <x:c r="I433" t="s">
        <x:v>24</x:v>
      </x:c>
      <x:c r="J433" s="1">
        <x:v>45787</x:v>
      </x:c>
      <x:c r="K433" t="s">
        <x:v>27</x:v>
      </x:c>
      <x:c r="M433"/>
      <x:c r="N433">
        <x:v>2</x:v>
      </x:c>
      <x:c r="O433">
        <x:v>1</x:v>
      </x:c>
      <x:c r="P433">
        <x:v>51</x:v>
      </x:c>
      <x:c r="Q433" t="s">
        <x:v>27</x:v>
      </x:c>
      <x:c r="R433" t="n">
        <x:f>IF(subscriptions[[#This Row],[churned]]="Yes",1,0)</x:f>
        <x:v>0</x:v>
      </x:c>
      <x:c r="S433" s="11" t="str">
        <x:f>IF(K433="Yes",(L433-J433)/30.4375,"")</x:f>
      </x:c>
      <x:c r="T433" t="str">
        <x:f>IF(AND(K433="No",P433&lt;40,O433&lt;=4),"High Risk","")</x:f>
      </x:c>
    </x:row>
    <x:row r="434">
      <x:c r="A434" t="s">
        <x:v>491</x:v>
      </x:c>
      <x:c r="B434" t="s">
        <x:v>75</x:v>
      </x:c>
      <x:c r="C434" t="s">
        <x:v>20</x:v>
      </x:c>
      <x:c r="D434" t="s">
        <x:v>39</x:v>
      </x:c>
      <x:c r="E434" t="s">
        <x:v>40</x:v>
      </x:c>
      <x:c r="F434">
        <x:v>25</x:v>
      </x:c>
      <x:c r="G434">
        <x:v>2295.4</x:v>
      </x:c>
      <x:c r="H434" t="s">
        <x:v>23</x:v>
      </x:c>
      <x:c r="I434" t="s">
        <x:v>24</x:v>
      </x:c>
      <x:c r="J434" s="1">
        <x:v>45151</x:v>
      </x:c>
      <x:c r="K434" t="s">
        <x:v>25</x:v>
      </x:c>
      <x:c r="L434" s="1">
        <x:v>45347</x:v>
      </x:c>
      <x:c r="M434" t="s">
        <x:v>67</x:v>
      </x:c>
      <x:c r="N434">
        <x:v>1</x:v>
      </x:c>
      <x:c r="O434">
        <x:v>1</x:v>
      </x:c>
      <x:c r="P434">
        <x:v>34</x:v>
      </x:c>
      <x:c r="Q434" t="s">
        <x:v>27</x:v>
      </x:c>
      <x:c r="R434" t="n">
        <x:f>IF(subscriptions[[#This Row],[churned]]="Yes",1,0)</x:f>
        <x:v>1</x:v>
      </x:c>
      <x:c r="S434" s="11" t="n">
        <x:f>IF(K434="Yes",(L434-J434)/30.4375,"")</x:f>
        <x:v>6.439425051334703</x:v>
      </x:c>
      <x:c r="T434" t="str">
        <x:f>IF(AND(K434="No",P434&lt;40,O434&lt;=4),"High Risk","")</x:f>
      </x:c>
    </x:row>
    <x:row r="435">
      <x:c r="A435" t="s">
        <x:v>492</x:v>
      </x:c>
      <x:c r="B435" t="s">
        <x:v>33</x:v>
      </x:c>
      <x:c r="C435" t="s">
        <x:v>29</x:v>
      </x:c>
      <x:c r="D435" t="s">
        <x:v>39</x:v>
      </x:c>
      <x:c r="E435" t="s">
        <x:v>35</x:v>
      </x:c>
      <x:c r="F435">
        <x:v>222</x:v>
      </x:c>
      <x:c r="G435">
        <x:v>841.8</x:v>
      </x:c>
      <x:c r="H435" t="s">
        <x:v>47</x:v>
      </x:c>
      <x:c r="I435" t="s">
        <x:v>24</x:v>
      </x:c>
      <x:c r="J435" s="1">
        <x:v>44851</x:v>
      </x:c>
      <x:c r="K435" t="s">
        <x:v>25</x:v>
      </x:c>
      <x:c r="L435" s="1">
        <x:v>45631</x:v>
      </x:c>
      <x:c r="M435" t="s">
        <x:v>50</x:v>
      </x:c>
      <x:c r="N435">
        <x:v>8</x:v>
      </x:c>
      <x:c r="O435">
        <x:v>2</x:v>
      </x:c>
      <x:c r="P435">
        <x:v>47</x:v>
      </x:c>
      <x:c r="Q435" t="s">
        <x:v>27</x:v>
      </x:c>
      <x:c r="R435" t="n">
        <x:f>IF(subscriptions[[#This Row],[churned]]="Yes",1,0)</x:f>
        <x:v>1</x:v>
      </x:c>
      <x:c r="S435" s="11" t="n">
        <x:f>IF(K435="Yes",(L435-J435)/30.4375,"")</x:f>
        <x:v>25.626283367556468</x:v>
      </x:c>
      <x:c r="T435" t="str">
        <x:f>IF(AND(K435="No",P435&lt;40,O435&lt;=4),"High Risk","")</x:f>
      </x:c>
    </x:row>
    <x:row r="436">
      <x:c r="A436" t="s">
        <x:v>493</x:v>
      </x:c>
      <x:c r="B436" t="s">
        <x:v>33</x:v>
      </x:c>
      <x:c r="C436" t="s">
        <x:v>20</x:v>
      </x:c>
      <x:c r="D436" t="s">
        <x:v>21</x:v>
      </x:c>
      <x:c r="E436" t="s">
        <x:v>46</x:v>
      </x:c>
      <x:c r="F436">
        <x:v>4</x:v>
      </x:c>
      <x:c r="G436">
        <x:v>42.05</x:v>
      </x:c>
      <x:c r="H436" t="s">
        <x:v>47</x:v>
      </x:c>
      <x:c r="I436" t="s">
        <x:v>73</x:v>
      </x:c>
      <x:c r="J436" s="1">
        <x:v>44966</x:v>
      </x:c>
      <x:c r="K436" t="s">
        <x:v>25</x:v>
      </x:c>
      <x:c r="L436" s="1">
        <x:v>45165</x:v>
      </x:c>
      <x:c r="M436" t="s">
        <x:v>50</x:v>
      </x:c>
      <x:c r="N436">
        <x:v>5</x:v>
      </x:c>
      <x:c r="O436">
        <x:v>3</x:v>
      </x:c>
      <x:c r="P436">
        <x:v>10</x:v>
      </x:c>
      <x:c r="Q436" t="s">
        <x:v>27</x:v>
      </x:c>
      <x:c r="R436" t="n">
        <x:f>IF(subscriptions[[#This Row],[churned]]="Yes",1,0)</x:f>
        <x:v>1</x:v>
      </x:c>
      <x:c r="S436" s="11" t="n">
        <x:f>IF(K436="Yes",(L436-J436)/30.4375,"")</x:f>
        <x:v>6.537987679671458</x:v>
      </x:c>
      <x:c r="T436" t="str">
        <x:f>IF(AND(K436="No",P436&lt;40,O436&lt;=4),"High Risk","")</x:f>
      </x:c>
    </x:row>
    <x:row r="437">
      <x:c r="A437" t="s">
        <x:v>494</x:v>
      </x:c>
      <x:c r="B437" t="s">
        <x:v>38</x:v>
      </x:c>
      <x:c r="C437" t="s">
        <x:v>29</x:v>
      </x:c>
      <x:c r="D437" t="s">
        <x:v>34</x:v>
      </x:c>
      <x:c r="E437" t="s">
        <x:v>22</x:v>
      </x:c>
      <x:c r="F437">
        <x:v>48</x:v>
      </x:c>
      <x:c r="G437">
        <x:v>1361.66</x:v>
      </x:c>
      <x:c r="H437" t="s">
        <x:v>64</x:v>
      </x:c>
      <x:c r="I437" t="s">
        <x:v>73</x:v>
      </x:c>
      <x:c r="J437" s="1">
        <x:v>44906</x:v>
      </x:c>
      <x:c r="K437" t="s">
        <x:v>25</x:v>
      </x:c>
      <x:c r="L437" s="1">
        <x:v>45600</x:v>
      </x:c>
      <x:c r="M437" t="s">
        <x:v>60</x:v>
      </x:c>
      <x:c r="N437">
        <x:v>7</x:v>
      </x:c>
      <x:c r="O437">
        <x:v>1</x:v>
      </x:c>
      <x:c r="P437">
        <x:v>28</x:v>
      </x:c>
      <x:c r="Q437" t="s">
        <x:v>27</x:v>
      </x:c>
      <x:c r="R437" t="n">
        <x:f>IF(subscriptions[[#This Row],[churned]]="Yes",1,0)</x:f>
        <x:v>1</x:v>
      </x:c>
      <x:c r="S437" s="11" t="n">
        <x:f>IF(K437="Yes",(L437-J437)/30.4375,"")</x:f>
        <x:v>22.80082135523614</x:v>
      </x:c>
      <x:c r="T437" t="str">
        <x:f>IF(AND(K437="No",P437&lt;40,O437&lt;=4),"High Risk","")</x:f>
      </x:c>
    </x:row>
    <x:row r="438">
      <x:c r="A438" t="s">
        <x:v>495</x:v>
      </x:c>
      <x:c r="B438" t="s">
        <x:v>33</x:v>
      </x:c>
      <x:c r="C438" t="s">
        <x:v>20</x:v>
      </x:c>
      <x:c r="D438" t="s">
        <x:v>66</x:v>
      </x:c>
      <x:c r="E438" t="s">
        <x:v>40</x:v>
      </x:c>
      <x:c r="F438">
        <x:v>6</x:v>
      </x:c>
      <x:c r="G438">
        <x:v>50.75</x:v>
      </x:c>
      <x:c r="H438" t="s">
        <x:v>47</x:v>
      </x:c>
      <x:c r="I438" t="s">
        <x:v>59</x:v>
      </x:c>
      <x:c r="J438" s="1">
        <x:v>45026</x:v>
      </x:c>
      <x:c r="K438" t="s">
        <x:v>25</x:v>
      </x:c>
      <x:c r="L438" s="1">
        <x:v>45086</x:v>
      </x:c>
      <x:c r="M438" t="s">
        <x:v>50</x:v>
      </x:c>
      <x:c r="N438">
        <x:v>5</x:v>
      </x:c>
      <x:c r="O438">
        <x:v>3</x:v>
      </x:c>
      <x:c r="P438">
        <x:v>18</x:v>
      </x:c>
      <x:c r="Q438" t="s">
        <x:v>27</x:v>
      </x:c>
      <x:c r="R438" t="n">
        <x:f>IF(subscriptions[[#This Row],[churned]]="Yes",1,0)</x:f>
        <x:v>1</x:v>
      </x:c>
      <x:c r="S438" s="11" t="n">
        <x:f>IF(K438="Yes",(L438-J438)/30.4375,"")</x:f>
        <x:v>1.9712525667351128</x:v>
      </x:c>
      <x:c r="T438" t="str">
        <x:f>IF(AND(K438="No",P438&lt;40,O438&lt;=4),"High Risk","")</x:f>
      </x:c>
    </x:row>
    <x:row r="439">
      <x:c r="A439" t="s">
        <x:v>496</x:v>
      </x:c>
      <x:c r="B439" t="s">
        <x:v>33</x:v>
      </x:c>
      <x:c r="C439" t="s">
        <x:v>29</x:v>
      </x:c>
      <x:c r="D439" t="s">
        <x:v>45</x:v>
      </x:c>
      <x:c r="E439" t="s">
        <x:v>22</x:v>
      </x:c>
      <x:c r="F439">
        <x:v>44</x:v>
      </x:c>
      <x:c r="G439">
        <x:v>183.64</x:v>
      </x:c>
      <x:c r="H439" t="s">
        <x:v>64</x:v>
      </x:c>
      <x:c r="I439" t="s">
        <x:v>41</x:v>
      </x:c>
      <x:c r="J439" s="1">
        <x:v>45597</x:v>
      </x:c>
      <x:c r="K439" t="s">
        <x:v>25</x:v>
      </x:c>
      <x:c r="L439" s="1">
        <x:v>45599</x:v>
      </x:c>
      <x:c r="M439" t="s">
        <x:v>26</x:v>
      </x:c>
      <x:c r="N439">
        <x:v>5</x:v>
      </x:c>
      <x:c r="O439">
        <x:v>6</x:v>
      </x:c>
      <x:c r="P439">
        <x:v>31</x:v>
      </x:c>
      <x:c r="Q439" t="s">
        <x:v>27</x:v>
      </x:c>
      <x:c r="R439" t="n">
        <x:f>IF(subscriptions[[#This Row],[churned]]="Yes",1,0)</x:f>
        <x:v>1</x:v>
      </x:c>
      <x:c r="S439" s="11" t="n">
        <x:f>IF(K439="Yes",(L439-J439)/30.4375,"")</x:f>
        <x:v>0.06570841889117043</x:v>
      </x:c>
      <x:c r="T439" t="str">
        <x:f>IF(AND(K439="No",P439&lt;40,O439&lt;=4),"High Risk","")</x:f>
      </x:c>
    </x:row>
    <x:row r="440">
      <x:c r="A440" t="s">
        <x:v>497</x:v>
      </x:c>
      <x:c r="B440" t="s">
        <x:v>38</x:v>
      </x:c>
      <x:c r="C440" t="s">
        <x:v>20</x:v>
      </x:c>
      <x:c r="D440" t="s">
        <x:v>83</x:v>
      </x:c>
      <x:c r="E440" t="s">
        <x:v>35</x:v>
      </x:c>
      <x:c r="F440">
        <x:v>62</x:v>
      </x:c>
      <x:c r="G440">
        <x:v>2019.85</x:v>
      </x:c>
      <x:c r="H440" t="s">
        <x:v>30</x:v>
      </x:c>
      <x:c r="I440" t="s">
        <x:v>41</x:v>
      </x:c>
      <x:c r="J440" s="1">
        <x:v>45816</x:v>
      </x:c>
      <x:c r="K440" t="s">
        <x:v>25</x:v>
      </x:c>
      <x:c r="L440" s="1">
        <x:v>45856</x:v>
      </x:c>
      <x:c r="M440" t="s">
        <x:v>60</x:v>
      </x:c>
      <x:c r="N440">
        <x:v>9</x:v>
      </x:c>
      <x:c r="O440">
        <x:v>4</x:v>
      </x:c>
      <x:c r="P440">
        <x:v>34</x:v>
      </x:c>
      <x:c r="Q440" t="s">
        <x:v>27</x:v>
      </x:c>
      <x:c r="R440" t="n">
        <x:f>IF(subscriptions[[#This Row],[churned]]="Yes",1,0)</x:f>
        <x:v>1</x:v>
      </x:c>
      <x:c r="S440" s="11" t="n">
        <x:f>IF(K440="Yes",(L440-J440)/30.4375,"")</x:f>
        <x:v>1.3141683778234086</x:v>
      </x:c>
      <x:c r="T440" t="str">
        <x:f>IF(AND(K440="No",P440&lt;40,O440&lt;=4),"High Risk","")</x:f>
      </x:c>
    </x:row>
    <x:row r="441">
      <x:c r="A441" t="s">
        <x:v>498</x:v>
      </x:c>
      <x:c r="B441" t="s">
        <x:v>38</x:v>
      </x:c>
      <x:c r="C441" t="s">
        <x:v>29</x:v>
      </x:c>
      <x:c r="D441" t="s">
        <x:v>56</x:v>
      </x:c>
      <x:c r="E441" t="s">
        <x:v>46</x:v>
      </x:c>
      <x:c r="F441">
        <x:v>8</x:v>
      </x:c>
      <x:c r="G441">
        <x:v>346.76</x:v>
      </x:c>
      <x:c r="H441" t="s">
        <x:v>47</x:v>
      </x:c>
      <x:c r="I441" t="s">
        <x:v>73</x:v>
      </x:c>
      <x:c r="J441" s="1">
        <x:v>45992</x:v>
      </x:c>
      <x:c r="K441" t="s">
        <x:v>27</x:v>
      </x:c>
      <x:c r="M441"/>
      <x:c r="N441">
        <x:v>1</x:v>
      </x:c>
      <x:c r="O441">
        <x:v>10</x:v>
      </x:c>
      <x:c r="P441">
        <x:v>50</x:v>
      </x:c>
      <x:c r="Q441" t="s">
        <x:v>27</x:v>
      </x:c>
      <x:c r="R441" t="n">
        <x:f>IF(subscriptions[[#This Row],[churned]]="Yes",1,0)</x:f>
        <x:v>0</x:v>
      </x:c>
      <x:c r="S441" s="11" t="str">
        <x:f>IF(K441="Yes",(L441-J441)/30.4375,"")</x:f>
      </x:c>
      <x:c r="T441" t="str">
        <x:f>IF(AND(K441="No",P441&lt;40,O441&lt;=4),"High Risk","")</x:f>
      </x:c>
    </x:row>
    <x:row r="442">
      <x:c r="A442" t="s">
        <x:v>499</x:v>
      </x:c>
      <x:c r="B442" t="s">
        <x:v>19</x:v>
      </x:c>
      <x:c r="C442" t="s">
        <x:v>29</x:v>
      </x:c>
      <x:c r="D442" t="s">
        <x:v>39</x:v>
      </x:c>
      <x:c r="E442" t="s">
        <x:v>49</x:v>
      </x:c>
      <x:c r="F442">
        <x:v>88</x:v>
      </x:c>
      <x:c r="G442">
        <x:v>943.46</x:v>
      </x:c>
      <x:c r="H442" t="s">
        <x:v>64</x:v>
      </x:c>
      <x:c r="I442" t="s">
        <x:v>24</x:v>
      </x:c>
      <x:c r="J442" s="1">
        <x:v>45151</x:v>
      </x:c>
      <x:c r="K442" t="s">
        <x:v>25</x:v>
      </x:c>
      <x:c r="L442" s="1">
        <x:v>45308</x:v>
      </x:c>
      <x:c r="M442" t="s">
        <x:v>54</x:v>
      </x:c>
      <x:c r="N442">
        <x:v>8</x:v>
      </x:c>
      <x:c r="O442">
        <x:v>4</x:v>
      </x:c>
      <x:c r="P442">
        <x:v>44</x:v>
      </x:c>
      <x:c r="Q442" t="s">
        <x:v>27</x:v>
      </x:c>
      <x:c r="R442" t="n">
        <x:f>IF(subscriptions[[#This Row],[churned]]="Yes",1,0)</x:f>
        <x:v>1</x:v>
      </x:c>
      <x:c r="S442" s="11" t="n">
        <x:f>IF(K442="Yes",(L442-J442)/30.4375,"")</x:f>
        <x:v>5.158110882956879</x:v>
      </x:c>
      <x:c r="T442" t="str">
        <x:f>IF(AND(K442="No",P442&lt;40,O442&lt;=4),"High Risk","")</x:f>
      </x:c>
    </x:row>
    <x:row r="443">
      <x:c r="A443" t="s">
        <x:v>500</x:v>
      </x:c>
      <x:c r="B443" t="s">
        <x:v>38</x:v>
      </x:c>
      <x:c r="C443" t="s">
        <x:v>29</x:v>
      </x:c>
      <x:c r="D443" t="s">
        <x:v>56</x:v>
      </x:c>
      <x:c r="E443" t="s">
        <x:v>22</x:v>
      </x:c>
      <x:c r="F443">
        <x:v>54</x:v>
      </x:c>
      <x:c r="G443">
        <x:v>1513.89</x:v>
      </x:c>
      <x:c r="H443" t="s">
        <x:v>64</x:v>
      </x:c>
      <x:c r="I443" t="s">
        <x:v>59</x:v>
      </x:c>
      <x:c r="J443" s="1">
        <x:v>45387</x:v>
      </x:c>
      <x:c r="K443" t="s">
        <x:v>27</x:v>
      </x:c>
      <x:c r="M443"/>
      <x:c r="N443">
        <x:v>10</x:v>
      </x:c>
      <x:c r="O443">
        <x:v>10</x:v>
      </x:c>
      <x:c r="P443">
        <x:v>33</x:v>
      </x:c>
      <x:c r="Q443" t="s">
        <x:v>25</x:v>
      </x:c>
      <x:c r="R443" t="n">
        <x:f>IF(subscriptions[[#This Row],[churned]]="Yes",1,0)</x:f>
        <x:v>0</x:v>
      </x:c>
      <x:c r="S443" s="11" t="str">
        <x:f>IF(K443="Yes",(L443-J443)/30.4375,"")</x:f>
      </x:c>
      <x:c r="T443" t="str">
        <x:f>IF(AND(K443="No",P443&lt;40,O443&lt;=4),"High Risk","")</x:f>
      </x:c>
    </x:row>
    <x:row r="444">
      <x:c r="A444" t="s">
        <x:v>501</x:v>
      </x:c>
      <x:c r="B444" t="s">
        <x:v>19</x:v>
      </x:c>
      <x:c r="C444" t="s">
        <x:v>20</x:v>
      </x:c>
      <x:c r="D444" t="s">
        <x:v>72</x:v>
      </x:c>
      <x:c r="E444" t="s">
        <x:v>22</x:v>
      </x:c>
      <x:c r="F444">
        <x:v>58</x:v>
      </x:c>
      <x:c r="G444">
        <x:v>754.45</x:v>
      </x:c>
      <x:c r="H444" t="s">
        <x:v>23</x:v>
      </x:c>
      <x:c r="I444" t="s">
        <x:v>24</x:v>
      </x:c>
      <x:c r="J444" s="1">
        <x:v>45105</x:v>
      </x:c>
      <x:c r="K444" t="s">
        <x:v>27</x:v>
      </x:c>
      <x:c r="M444"/>
      <x:c r="N444">
        <x:v>11</x:v>
      </x:c>
      <x:c r="O444">
        <x:v>5</x:v>
      </x:c>
      <x:c r="P444">
        <x:v>84</x:v>
      </x:c>
      <x:c r="Q444" t="s">
        <x:v>27</x:v>
      </x:c>
      <x:c r="R444" t="n">
        <x:f>IF(subscriptions[[#This Row],[churned]]="Yes",1,0)</x:f>
        <x:v>0</x:v>
      </x:c>
      <x:c r="S444" s="11" t="str">
        <x:f>IF(K444="Yes",(L444-J444)/30.4375,"")</x:f>
      </x:c>
      <x:c r="T444" t="str">
        <x:f>IF(AND(K444="No",P444&lt;40,O444&lt;=4),"High Risk","")</x:f>
      </x:c>
    </x:row>
    <x:row r="445">
      <x:c r="A445" t="s">
        <x:v>502</x:v>
      </x:c>
      <x:c r="B445" t="s">
        <x:v>38</x:v>
      </x:c>
      <x:c r="C445" t="s">
        <x:v>20</x:v>
      </x:c>
      <x:c r="D445" t="s">
        <x:v>66</x:v>
      </x:c>
      <x:c r="E445" t="s">
        <x:v>46</x:v>
      </x:c>
      <x:c r="F445">
        <x:v>5</x:v>
      </x:c>
      <x:c r="G445">
        <x:v>318.39999999999998</x:v>
      </x:c>
      <x:c r="H445" t="s">
        <x:v>23</x:v>
      </x:c>
      <x:c r="I445" t="s">
        <x:v>73</x:v>
      </x:c>
      <x:c r="J445" s="1">
        <x:v>45223</x:v>
      </x:c>
      <x:c r="K445" t="s">
        <x:v>27</x:v>
      </x:c>
      <x:c r="M445"/>
      <x:c r="N445">
        <x:v>9</x:v>
      </x:c>
      <x:c r="O445">
        <x:v>9</x:v>
      </x:c>
      <x:c r="P445">
        <x:v>59</x:v>
      </x:c>
      <x:c r="Q445" t="s">
        <x:v>25</x:v>
      </x:c>
      <x:c r="R445" t="n">
        <x:f>IF(subscriptions[[#This Row],[churned]]="Yes",1,0)</x:f>
        <x:v>0</x:v>
      </x:c>
      <x:c r="S445" s="11" t="str">
        <x:f>IF(K445="Yes",(L445-J445)/30.4375,"")</x:f>
      </x:c>
      <x:c r="T445" t="str">
        <x:f>IF(AND(K445="No",P445&lt;40,O445&lt;=4),"High Risk","")</x:f>
      </x:c>
    </x:row>
    <x:row r="446">
      <x:c r="A446" t="s">
        <x:v>503</x:v>
      </x:c>
      <x:c r="B446" t="s">
        <x:v>33</x:v>
      </x:c>
      <x:c r="C446" t="s">
        <x:v>20</x:v>
      </x:c>
      <x:c r="D446" t="s">
        <x:v>39</x:v>
      </x:c>
      <x:c r="E446" t="s">
        <x:v>35</x:v>
      </x:c>
      <x:c r="F446">
        <x:v>254</x:v>
      </x:c>
      <x:c r="G446">
        <x:v>1129.55</x:v>
      </x:c>
      <x:c r="H446" t="s">
        <x:v>47</x:v>
      </x:c>
      <x:c r="I446" t="s">
        <x:v>24</x:v>
      </x:c>
      <x:c r="J446" s="1">
        <x:v>45779</x:v>
      </x:c>
      <x:c r="K446" t="s">
        <x:v>27</x:v>
      </x:c>
      <x:c r="M446"/>
      <x:c r="N446">
        <x:v>2</x:v>
      </x:c>
      <x:c r="O446">
        <x:v>7</x:v>
      </x:c>
      <x:c r="P446">
        <x:v>42</x:v>
      </x:c>
      <x:c r="Q446" t="s">
        <x:v>27</x:v>
      </x:c>
      <x:c r="R446" t="n">
        <x:f>IF(subscriptions[[#This Row],[churned]]="Yes",1,0)</x:f>
        <x:v>0</x:v>
      </x:c>
      <x:c r="S446" s="11" t="str">
        <x:f>IF(K446="Yes",(L446-J446)/30.4375,"")</x:f>
      </x:c>
      <x:c r="T446" t="str">
        <x:f>IF(AND(K446="No",P446&lt;40,O446&lt;=4),"High Risk","")</x:f>
      </x:c>
    </x:row>
    <x:row r="447">
      <x:c r="A447" t="s">
        <x:v>504</x:v>
      </x:c>
      <x:c r="B447" t="s">
        <x:v>38</x:v>
      </x:c>
      <x:c r="C447" t="s">
        <x:v>20</x:v>
      </x:c>
      <x:c r="D447" t="s">
        <x:v>45</x:v>
      </x:c>
      <x:c r="E447" t="s">
        <x:v>22</x:v>
      </x:c>
      <x:c r="F447">
        <x:v>30</x:v>
      </x:c>
      <x:c r="G447">
        <x:v>1064.6500000000001</x:v>
      </x:c>
      <x:c r="H447" t="s">
        <x:v>64</x:v>
      </x:c>
      <x:c r="I447" t="s">
        <x:v>41</x:v>
      </x:c>
      <x:c r="J447" s="1">
        <x:v>45072</x:v>
      </x:c>
      <x:c r="K447" t="s">
        <x:v>25</x:v>
      </x:c>
      <x:c r="L447" s="1">
        <x:v>45364</x:v>
      </x:c>
      <x:c r="M447" t="s">
        <x:v>26</x:v>
      </x:c>
      <x:c r="N447">
        <x:v>10</x:v>
      </x:c>
      <x:c r="O447">
        <x:v>3</x:v>
      </x:c>
      <x:c r="P447">
        <x:v>44</x:v>
      </x:c>
      <x:c r="Q447" t="s">
        <x:v>27</x:v>
      </x:c>
      <x:c r="R447" t="n">
        <x:f>IF(subscriptions[[#This Row],[churned]]="Yes",1,0)</x:f>
        <x:v>1</x:v>
      </x:c>
      <x:c r="S447" s="11" t="n">
        <x:f>IF(K447="Yes",(L447-J447)/30.4375,"")</x:f>
        <x:v>9.593429158110883</x:v>
      </x:c>
      <x:c r="T447" t="str">
        <x:f>IF(AND(K447="No",P447&lt;40,O447&lt;=4),"High Risk","")</x:f>
      </x:c>
    </x:row>
    <x:row r="448">
      <x:c r="A448" t="s">
        <x:v>505</x:v>
      </x:c>
      <x:c r="B448" t="s">
        <x:v>33</x:v>
      </x:c>
      <x:c r="C448" t="s">
        <x:v>20</x:v>
      </x:c>
      <x:c r="D448" t="s">
        <x:v>45</x:v>
      </x:c>
      <x:c r="E448" t="s">
        <x:v>46</x:v>
      </x:c>
      <x:c r="F448">
        <x:v>5</x:v>
      </x:c>
      <x:c r="G448">
        <x:v>46.4</x:v>
      </x:c>
      <x:c r="H448" t="s">
        <x:v>30</x:v>
      </x:c>
      <x:c r="I448" t="s">
        <x:v>59</x:v>
      </x:c>
      <x:c r="J448" s="1">
        <x:v>45216</x:v>
      </x:c>
      <x:c r="K448" t="s">
        <x:v>27</x:v>
      </x:c>
      <x:c r="M448"/>
      <x:c r="N448">
        <x:v>0</x:v>
      </x:c>
      <x:c r="O448">
        <x:v>9</x:v>
      </x:c>
      <x:c r="P448">
        <x:v>46</x:v>
      </x:c>
      <x:c r="Q448" t="s">
        <x:v>27</x:v>
      </x:c>
      <x:c r="R448" t="n">
        <x:f>IF(subscriptions[[#This Row],[churned]]="Yes",1,0)</x:f>
        <x:v>0</x:v>
      </x:c>
      <x:c r="S448" s="11" t="str">
        <x:f>IF(K448="Yes",(L448-J448)/30.4375,"")</x:f>
      </x:c>
      <x:c r="T448" t="str">
        <x:f>IF(AND(K448="No",P448&lt;40,O448&lt;=4),"High Risk","")</x:f>
      </x:c>
    </x:row>
    <x:row r="449">
      <x:c r="A449" t="s">
        <x:v>506</x:v>
      </x:c>
      <x:c r="B449" t="s">
        <x:v>38</x:v>
      </x:c>
      <x:c r="C449" t="s">
        <x:v>20</x:v>
      </x:c>
      <x:c r="D449" t="s">
        <x:v>66</x:v>
      </x:c>
      <x:c r="E449" t="s">
        <x:v>40</x:v>
      </x:c>
      <x:c r="F449">
        <x:v>31</x:v>
      </x:c>
      <x:c r="G449">
        <x:v>1094.5</x:v>
      </x:c>
      <x:c r="H449" t="s">
        <x:v>64</x:v>
      </x:c>
      <x:c r="I449" t="s">
        <x:v>24</x:v>
      </x:c>
      <x:c r="J449" s="1">
        <x:v>45658</x:v>
      </x:c>
      <x:c r="K449" t="s">
        <x:v>27</x:v>
      </x:c>
      <x:c r="M449"/>
      <x:c r="N449">
        <x:v>1</x:v>
      </x:c>
      <x:c r="O449">
        <x:v>9</x:v>
      </x:c>
      <x:c r="P449">
        <x:v>69</x:v>
      </x:c>
      <x:c r="Q449" t="s">
        <x:v>27</x:v>
      </x:c>
      <x:c r="R449" t="n">
        <x:f>IF(subscriptions[[#This Row],[churned]]="Yes",1,0)</x:f>
        <x:v>0</x:v>
      </x:c>
      <x:c r="S449" s="11" t="str">
        <x:f>IF(K449="Yes",(L449-J449)/30.4375,"")</x:f>
      </x:c>
      <x:c r="T449" t="str">
        <x:f>IF(AND(K449="No",P449&lt;40,O449&lt;=4),"High Risk","")</x:f>
      </x:c>
    </x:row>
    <x:row r="450">
      <x:c r="A450" t="s">
        <x:v>507</x:v>
      </x:c>
      <x:c r="B450" t="s">
        <x:v>38</x:v>
      </x:c>
      <x:c r="C450" t="s">
        <x:v>20</x:v>
      </x:c>
      <x:c r="D450" t="s">
        <x:v>56</x:v>
      </x:c>
      <x:c r="E450" t="s">
        <x:v>35</x:v>
      </x:c>
      <x:c r="F450">
        <x:v>71</x:v>
      </x:c>
      <x:c r="G450">
        <x:v>2288.5</x:v>
      </x:c>
      <x:c r="H450" t="s">
        <x:v>64</x:v>
      </x:c>
      <x:c r="I450" t="s">
        <x:v>41</x:v>
      </x:c>
      <x:c r="J450" s="1">
        <x:v>45334</x:v>
      </x:c>
      <x:c r="K450" t="s">
        <x:v>25</x:v>
      </x:c>
      <x:c r="L450" s="1">
        <x:v>45360</x:v>
      </x:c>
      <x:c r="M450" t="s">
        <x:v>67</x:v>
      </x:c>
      <x:c r="N450">
        <x:v>7</x:v>
      </x:c>
      <x:c r="O450">
        <x:v>2</x:v>
      </x:c>
      <x:c r="P450">
        <x:v>24</x:v>
      </x:c>
      <x:c r="Q450" t="s">
        <x:v>27</x:v>
      </x:c>
      <x:c r="R450" t="n">
        <x:f>IF(subscriptions[[#This Row],[churned]]="Yes",1,0)</x:f>
        <x:v>1</x:v>
      </x:c>
      <x:c r="S450" s="11" t="n">
        <x:f>IF(K450="Yes",(L450-J450)/30.4375,"")</x:f>
        <x:v>0.8542094455852156</x:v>
      </x:c>
      <x:c r="T450" t="str">
        <x:f>IF(AND(K450="No",P450&lt;40,O450&lt;=4),"High Risk","")</x:f>
      </x:c>
    </x:row>
    <x:row r="451">
      <x:c r="A451" t="s">
        <x:v>508</x:v>
      </x:c>
      <x:c r="B451" t="s">
        <x:v>19</x:v>
      </x:c>
      <x:c r="C451" t="s">
        <x:v>29</x:v>
      </x:c>
      <x:c r="D451" t="s">
        <x:v>21</x:v>
      </x:c>
      <x:c r="E451" t="s">
        <x:v>40</x:v>
      </x:c>
      <x:c r="F451">
        <x:v>8</x:v>
      </x:c>
      <x:c r="G451">
        <x:v>137.66</x:v>
      </x:c>
      <x:c r="H451" t="s">
        <x:v>36</x:v>
      </x:c>
      <x:c r="I451" t="s">
        <x:v>24</x:v>
      </x:c>
      <x:c r="J451" s="1">
        <x:v>46019</x:v>
      </x:c>
      <x:c r="K451" t="s">
        <x:v>27</x:v>
      </x:c>
      <x:c r="M451"/>
      <x:c r="N451">
        <x:v>0</x:v>
      </x:c>
      <x:c r="O451">
        <x:v>8</x:v>
      </x:c>
      <x:c r="P451">
        <x:v>38</x:v>
      </x:c>
      <x:c r="Q451" t="s">
        <x:v>27</x:v>
      </x:c>
      <x:c r="R451" t="n">
        <x:f>IF(subscriptions[[#This Row],[churned]]="Yes",1,0)</x:f>
        <x:v>0</x:v>
      </x:c>
      <x:c r="S451" s="11" t="str">
        <x:f>IF(K451="Yes",(L451-J451)/30.4375,"")</x:f>
      </x:c>
      <x:c r="T451" t="str">
        <x:f>IF(AND(K451="No",P451&lt;40,O451&lt;=4),"High Risk","")</x:f>
      </x:c>
    </x:row>
    <x:row r="452">
      <x:c r="A452" t="s">
        <x:v>509</x:v>
      </x:c>
      <x:c r="B452" t="s">
        <x:v>38</x:v>
      </x:c>
      <x:c r="C452" t="s">
        <x:v>20</x:v>
      </x:c>
      <x:c r="D452" t="s">
        <x:v>72</x:v>
      </x:c>
      <x:c r="E452" t="s">
        <x:v>40</x:v>
      </x:c>
      <x:c r="F452">
        <x:v>27</x:v>
      </x:c>
      <x:c r="G452">
        <x:v>975.1</x:v>
      </x:c>
      <x:c r="H452" t="s">
        <x:v>36</x:v>
      </x:c>
      <x:c r="I452" t="s">
        <x:v>24</x:v>
      </x:c>
      <x:c r="J452" s="1">
        <x:v>44986</x:v>
      </x:c>
      <x:c r="K452" t="s">
        <x:v>27</x:v>
      </x:c>
      <x:c r="M452"/>
      <x:c r="N452">
        <x:v>3</x:v>
      </x:c>
      <x:c r="O452">
        <x:v>4</x:v>
      </x:c>
      <x:c r="P452">
        <x:v>89</x:v>
      </x:c>
      <x:c r="Q452" t="s">
        <x:v>27</x:v>
      </x:c>
      <x:c r="R452" t="n">
        <x:f>IF(subscriptions[[#This Row],[churned]]="Yes",1,0)</x:f>
        <x:v>0</x:v>
      </x:c>
      <x:c r="S452" s="11" t="str">
        <x:f>IF(K452="Yes",(L452-J452)/30.4375,"")</x:f>
      </x:c>
      <x:c r="T452" t="str">
        <x:f>IF(AND(K452="No",P452&lt;40,O452&lt;=4),"High Risk","")</x:f>
      </x:c>
    </x:row>
    <x:row r="453">
      <x:c r="A453" t="s">
        <x:v>510</x:v>
      </x:c>
      <x:c r="B453" t="s">
        <x:v>19</x:v>
      </x:c>
      <x:c r="C453" t="s">
        <x:v>20</x:v>
      </x:c>
      <x:c r="D453" t="s">
        <x:v>45</x:v>
      </x:c>
      <x:c r="E453" t="s">
        <x:v>40</x:v>
      </x:c>
      <x:c r="F453">
        <x:v>12</x:v>
      </x:c>
      <x:c r="G453">
        <x:v>209.35</x:v>
      </x:c>
      <x:c r="H453" t="s">
        <x:v>64</x:v>
      </x:c>
      <x:c r="I453" t="s">
        <x:v>24</x:v>
      </x:c>
      <x:c r="J453" s="1">
        <x:v>45821</x:v>
      </x:c>
      <x:c r="K453" t="s">
        <x:v>27</x:v>
      </x:c>
      <x:c r="M453"/>
      <x:c r="N453">
        <x:v>2</x:v>
      </x:c>
      <x:c r="O453">
        <x:v>7</x:v>
      </x:c>
      <x:c r="P453">
        <x:v>82</x:v>
      </x:c>
      <x:c r="Q453" t="s">
        <x:v>27</x:v>
      </x:c>
      <x:c r="R453" t="n">
        <x:f>IF(subscriptions[[#This Row],[churned]]="Yes",1,0)</x:f>
        <x:v>0</x:v>
      </x:c>
      <x:c r="S453" s="11" t="str">
        <x:f>IF(K453="Yes",(L453-J453)/30.4375,"")</x:f>
      </x:c>
      <x:c r="T453" t="str">
        <x:f>IF(AND(K453="No",P453&lt;40,O453&lt;=4),"High Risk","")</x:f>
      </x:c>
    </x:row>
    <x:row r="454">
      <x:c r="A454" t="s">
        <x:v>511</x:v>
      </x:c>
      <x:c r="B454" t="s">
        <x:v>33</x:v>
      </x:c>
      <x:c r="C454" t="s">
        <x:v>20</x:v>
      </x:c>
      <x:c r="D454" t="s">
        <x:v>21</x:v>
      </x:c>
      <x:c r="E454" t="s">
        <x:v>46</x:v>
      </x:c>
      <x:c r="F454">
        <x:v>1</x:v>
      </x:c>
      <x:c r="G454">
        <x:v>29</x:v>
      </x:c>
      <x:c r="H454" t="s">
        <x:v>30</x:v>
      </x:c>
      <x:c r="I454" t="s">
        <x:v>73</x:v>
      </x:c>
      <x:c r="J454" s="1">
        <x:v>45193</x:v>
      </x:c>
      <x:c r="K454" t="s">
        <x:v>25</x:v>
      </x:c>
      <x:c r="L454" s="1">
        <x:v>45220</x:v>
      </x:c>
      <x:c r="M454" t="s">
        <x:v>60</x:v>
      </x:c>
      <x:c r="N454">
        <x:v>2</x:v>
      </x:c>
      <x:c r="O454">
        <x:v>1</x:v>
      </x:c>
      <x:c r="P454">
        <x:v>27</x:v>
      </x:c>
      <x:c r="Q454" t="s">
        <x:v>27</x:v>
      </x:c>
      <x:c r="R454" t="n">
        <x:f>IF(subscriptions[[#This Row],[churned]]="Yes",1,0)</x:f>
        <x:v>1</x:v>
      </x:c>
      <x:c r="S454" s="11" t="n">
        <x:f>IF(K454="Yes",(L454-J454)/30.4375,"")</x:f>
        <x:v>0.8870636550308009</x:v>
      </x:c>
      <x:c r="T454" t="str">
        <x:f>IF(AND(K454="No",P454&lt;40,O454&lt;=4),"High Risk","")</x:f>
      </x:c>
    </x:row>
    <x:row r="455">
      <x:c r="A455" t="s">
        <x:v>512</x:v>
      </x:c>
      <x:c r="B455" t="s">
        <x:v>33</x:v>
      </x:c>
      <x:c r="C455" t="s">
        <x:v>20</x:v>
      </x:c>
      <x:c r="D455" t="s">
        <x:v>53</x:v>
      </x:c>
      <x:c r="E455" t="s">
        <x:v>46</x:v>
      </x:c>
      <x:c r="F455">
        <x:v>1</x:v>
      </x:c>
      <x:c r="G455">
        <x:v>29</x:v>
      </x:c>
      <x:c r="H455" t="s">
        <x:v>64</x:v>
      </x:c>
      <x:c r="I455" t="s">
        <x:v>41</x:v>
      </x:c>
      <x:c r="J455" s="1">
        <x:v>45847</x:v>
      </x:c>
      <x:c r="K455" t="s">
        <x:v>25</x:v>
      </x:c>
      <x:c r="L455" s="1">
        <x:v>45988</x:v>
      </x:c>
      <x:c r="M455" t="s">
        <x:v>57</x:v>
      </x:c>
      <x:c r="N455">
        <x:v>12</x:v>
      </x:c>
      <x:c r="O455">
        <x:v>3</x:v>
      </x:c>
      <x:c r="P455">
        <x:v>49</x:v>
      </x:c>
      <x:c r="Q455" t="s">
        <x:v>27</x:v>
      </x:c>
      <x:c r="R455" t="n">
        <x:f>IF(subscriptions[[#This Row],[churned]]="Yes",1,0)</x:f>
        <x:v>1</x:v>
      </x:c>
      <x:c r="S455" s="11" t="n">
        <x:f>IF(K455="Yes",(L455-J455)/30.4375,"")</x:f>
        <x:v>4.632443531827516</x:v>
      </x:c>
      <x:c r="T455" t="str">
        <x:f>IF(AND(K455="No",P455&lt;40,O455&lt;=4),"High Risk","")</x:f>
      </x:c>
    </x:row>
    <x:row r="456">
      <x:c r="A456" t="s">
        <x:v>513</x:v>
      </x:c>
      <x:c r="B456" t="s">
        <x:v>33</x:v>
      </x:c>
      <x:c r="C456" t="s">
        <x:v>20</x:v>
      </x:c>
      <x:c r="D456" t="s">
        <x:v>56</x:v>
      </x:c>
      <x:c r="E456" t="s">
        <x:v>40</x:v>
      </x:c>
      <x:c r="F456">
        <x:v>8</x:v>
      </x:c>
      <x:c r="G456">
        <x:v>59.45</x:v>
      </x:c>
      <x:c r="H456" t="s">
        <x:v>23</x:v>
      </x:c>
      <x:c r="I456" t="s">
        <x:v>41</x:v>
      </x:c>
      <x:c r="J456" s="1">
        <x:v>45900</x:v>
      </x:c>
      <x:c r="K456" t="s">
        <x:v>27</x:v>
      </x:c>
      <x:c r="M456"/>
      <x:c r="N456">
        <x:v>4</x:v>
      </x:c>
      <x:c r="O456">
        <x:v>7</x:v>
      </x:c>
      <x:c r="P456">
        <x:v>34</x:v>
      </x:c>
      <x:c r="Q456" t="s">
        <x:v>27</x:v>
      </x:c>
      <x:c r="R456" t="n">
        <x:f>IF(subscriptions[[#This Row],[churned]]="Yes",1,0)</x:f>
        <x:v>0</x:v>
      </x:c>
      <x:c r="S456" s="11" t="str">
        <x:f>IF(K456="Yes",(L456-J456)/30.4375,"")</x:f>
      </x:c>
      <x:c r="T456" t="str">
        <x:f>IF(AND(K456="No",P456&lt;40,O456&lt;=4),"High Risk","")</x:f>
      </x:c>
    </x:row>
    <x:row r="457">
      <x:c r="A457" t="s">
        <x:v>514</x:v>
      </x:c>
      <x:c r="B457" t="s">
        <x:v>19</x:v>
      </x:c>
      <x:c r="C457" t="s">
        <x:v>29</x:v>
      </x:c>
      <x:c r="D457" t="s">
        <x:v>66</x:v>
      </x:c>
      <x:c r="E457" t="s">
        <x:v>46</x:v>
      </x:c>
      <x:c r="F457">
        <x:v>4</x:v>
      </x:c>
      <x:c r="G457">
        <x:v>97.37</x:v>
      </x:c>
      <x:c r="H457" t="s">
        <x:v>30</x:v>
      </x:c>
      <x:c r="I457" t="s">
        <x:v>24</x:v>
      </x:c>
      <x:c r="J457" s="1">
        <x:v>45063</x:v>
      </x:c>
      <x:c r="K457" t="s">
        <x:v>27</x:v>
      </x:c>
      <x:c r="M457"/>
      <x:c r="N457">
        <x:v>6</x:v>
      </x:c>
      <x:c r="O457">
        <x:v>8</x:v>
      </x:c>
      <x:c r="P457">
        <x:v>53</x:v>
      </x:c>
      <x:c r="Q457" t="s">
        <x:v>27</x:v>
      </x:c>
      <x:c r="R457" t="n">
        <x:f>IF(subscriptions[[#This Row],[churned]]="Yes",1,0)</x:f>
        <x:v>0</x:v>
      </x:c>
      <x:c r="S457" s="11" t="str">
        <x:f>IF(K457="Yes",(L457-J457)/30.4375,"")</x:f>
      </x:c>
      <x:c r="T457" t="str">
        <x:f>IF(AND(K457="No",P457&lt;40,O457&lt;=4),"High Risk","")</x:f>
      </x:c>
    </x:row>
    <x:row r="458">
      <x:c r="A458" t="s">
        <x:v>515</x:v>
      </x:c>
      <x:c r="B458" t="s">
        <x:v>19</x:v>
      </x:c>
      <x:c r="C458" t="s">
        <x:v>29</x:v>
      </x:c>
      <x:c r="D458" t="s">
        <x:v>72</x:v>
      </x:c>
      <x:c r="E458" t="s">
        <x:v>22</x:v>
      </x:c>
      <x:c r="F458">
        <x:v>39</x:v>
      </x:c>
      <x:c r="G458">
        <x:v>449.9</x:v>
      </x:c>
      <x:c r="H458" t="s">
        <x:v>30</x:v>
      </x:c>
      <x:c r="I458" t="s">
        <x:v>59</x:v>
      </x:c>
      <x:c r="J458" s="1">
        <x:v>45380</x:v>
      </x:c>
      <x:c r="K458" t="s">
        <x:v>27</x:v>
      </x:c>
      <x:c r="M458"/>
      <x:c r="N458">
        <x:v>0</x:v>
      </x:c>
      <x:c r="O458">
        <x:v>5</x:v>
      </x:c>
      <x:c r="P458">
        <x:v>58</x:v>
      </x:c>
      <x:c r="Q458" t="s">
        <x:v>27</x:v>
      </x:c>
      <x:c r="R458" t="n">
        <x:f>IF(subscriptions[[#This Row],[churned]]="Yes",1,0)</x:f>
        <x:v>0</x:v>
      </x:c>
      <x:c r="S458" s="11" t="str">
        <x:f>IF(K458="Yes",(L458-J458)/30.4375,"")</x:f>
      </x:c>
      <x:c r="T458" t="str">
        <x:f>IF(AND(K458="No",P458&lt;40,O458&lt;=4),"High Risk","")</x:f>
      </x:c>
    </x:row>
    <x:row r="459">
      <x:c r="A459" t="s">
        <x:v>516</x:v>
      </x:c>
      <x:c r="B459" t="s">
        <x:v>38</x:v>
      </x:c>
      <x:c r="C459" t="s">
        <x:v>29</x:v>
      </x:c>
      <x:c r="D459" t="s">
        <x:v>43</x:v>
      </x:c>
      <x:c r="E459" t="s">
        <x:v>49</x:v>
      </x:c>
      <x:c r="F459">
        <x:v>73</x:v>
      </x:c>
      <x:c r="G459">
        <x:v>1995.97</x:v>
      </x:c>
      <x:c r="H459" t="s">
        <x:v>47</x:v>
      </x:c>
      <x:c r="I459" t="s">
        <x:v>24</x:v>
      </x:c>
      <x:c r="J459" s="1">
        <x:v>45749</x:v>
      </x:c>
      <x:c r="K459" t="s">
        <x:v>27</x:v>
      </x:c>
      <x:c r="M459"/>
      <x:c r="N459">
        <x:v>12</x:v>
      </x:c>
      <x:c r="O459">
        <x:v>1</x:v>
      </x:c>
      <x:c r="P459">
        <x:v>15</x:v>
      </x:c>
      <x:c r="Q459" t="s">
        <x:v>25</x:v>
      </x:c>
      <x:c r="R459" t="n">
        <x:f>IF(subscriptions[[#This Row],[churned]]="Yes",1,0)</x:f>
        <x:v>0</x:v>
      </x:c>
      <x:c r="S459" s="11" t="str">
        <x:f>IF(K459="Yes",(L459-J459)/30.4375,"")</x:f>
      </x:c>
      <x:c r="T459" t="str">
        <x:f>IF(AND(K459="No",P459&lt;40,O459&lt;=4),"High Risk","")</x:f>
        <x:v>High Risk</x:v>
      </x:c>
    </x:row>
    <x:row r="460">
      <x:c r="A460" t="s">
        <x:v>517</x:v>
      </x:c>
      <x:c r="B460" t="s">
        <x:v>19</x:v>
      </x:c>
      <x:c r="C460" t="s">
        <x:v>20</x:v>
      </x:c>
      <x:c r="D460" t="s">
        <x:v>39</x:v>
      </x:c>
      <x:c r="E460" t="s">
        <x:v>40</x:v>
      </x:c>
      <x:c r="F460">
        <x:v>7</x:v>
      </x:c>
      <x:c r="G460">
        <x:v>150.1</x:v>
      </x:c>
      <x:c r="H460" t="s">
        <x:v>36</x:v>
      </x:c>
      <x:c r="I460" t="s">
        <x:v>24</x:v>
      </x:c>
      <x:c r="J460" s="1">
        <x:v>44915</x:v>
      </x:c>
      <x:c r="K460" t="s">
        <x:v>25</x:v>
      </x:c>
      <x:c r="L460" s="1">
        <x:v>45232</x:v>
      </x:c>
      <x:c r="M460" t="s">
        <x:v>86</x:v>
      </x:c>
      <x:c r="N460">
        <x:v>5</x:v>
      </x:c>
      <x:c r="O460">
        <x:v>2</x:v>
      </x:c>
      <x:c r="P460">
        <x:v>12</x:v>
      </x:c>
      <x:c r="Q460" t="s">
        <x:v>27</x:v>
      </x:c>
      <x:c r="R460" t="n">
        <x:f>IF(subscriptions[[#This Row],[churned]]="Yes",1,0)</x:f>
        <x:v>1</x:v>
      </x:c>
      <x:c r="S460" s="11" t="n">
        <x:f>IF(K460="Yes",(L460-J460)/30.4375,"")</x:f>
        <x:v>10.414784394250514</x:v>
      </x:c>
      <x:c r="T460" t="str">
        <x:f>IF(AND(K460="No",P460&lt;40,O460&lt;=4),"High Risk","")</x:f>
      </x:c>
    </x:row>
    <x:row r="461">
      <x:c r="A461" t="s">
        <x:v>518</x:v>
      </x:c>
      <x:c r="B461" t="s">
        <x:v>38</x:v>
      </x:c>
      <x:c r="C461" t="s">
        <x:v>29</x:v>
      </x:c>
      <x:c r="D461" t="s">
        <x:v>34</x:v>
      </x:c>
      <x:c r="E461" t="s">
        <x:v>40</x:v>
      </x:c>
      <x:c r="F461">
        <x:v>33</x:v>
      </x:c>
      <x:c r="G461">
        <x:v>981.07</x:v>
      </x:c>
      <x:c r="H461" t="s">
        <x:v>36</x:v>
      </x:c>
      <x:c r="I461" t="s">
        <x:v>59</x:v>
      </x:c>
      <x:c r="J461" s="1">
        <x:v>44964</x:v>
      </x:c>
      <x:c r="K461" t="s">
        <x:v>27</x:v>
      </x:c>
      <x:c r="M461"/>
      <x:c r="N461">
        <x:v>1</x:v>
      </x:c>
      <x:c r="O461">
        <x:v>8</x:v>
      </x:c>
      <x:c r="P461">
        <x:v>89</x:v>
      </x:c>
      <x:c r="Q461" t="s">
        <x:v>27</x:v>
      </x:c>
      <x:c r="R461" t="n">
        <x:f>IF(subscriptions[[#This Row],[churned]]="Yes",1,0)</x:f>
        <x:v>0</x:v>
      </x:c>
      <x:c r="S461" s="11" t="str">
        <x:f>IF(K461="Yes",(L461-J461)/30.4375,"")</x:f>
      </x:c>
      <x:c r="T461" t="str">
        <x:f>IF(AND(K461="No",P461&lt;40,O461&lt;=4),"High Risk","")</x:f>
      </x:c>
    </x:row>
    <x:row r="462">
      <x:c r="A462" t="s">
        <x:v>519</x:v>
      </x:c>
      <x:c r="B462" t="s">
        <x:v>33</x:v>
      </x:c>
      <x:c r="C462" t="s">
        <x:v>20</x:v>
      </x:c>
      <x:c r="D462" t="s">
        <x:v>66</x:v>
      </x:c>
      <x:c r="E462" t="s">
        <x:v>46</x:v>
      </x:c>
      <x:c r="F462">
        <x:v>3</x:v>
      </x:c>
      <x:c r="G462">
        <x:v>37.700000000000003</x:v>
      </x:c>
      <x:c r="H462" t="s">
        <x:v>36</x:v>
      </x:c>
      <x:c r="I462" t="s">
        <x:v>41</x:v>
      </x:c>
      <x:c r="J462" s="1">
        <x:v>45660</x:v>
      </x:c>
      <x:c r="K462" t="s">
        <x:v>27</x:v>
      </x:c>
      <x:c r="M462"/>
      <x:c r="N462">
        <x:v>10</x:v>
      </x:c>
      <x:c r="O462">
        <x:v>7</x:v>
      </x:c>
      <x:c r="P462">
        <x:v>60</x:v>
      </x:c>
      <x:c r="Q462" t="s">
        <x:v>27</x:v>
      </x:c>
      <x:c r="R462" t="n">
        <x:f>IF(subscriptions[[#This Row],[churned]]="Yes",1,0)</x:f>
        <x:v>0</x:v>
      </x:c>
      <x:c r="S462" s="11" t="str">
        <x:f>IF(K462="Yes",(L462-J462)/30.4375,"")</x:f>
      </x:c>
      <x:c r="T462" t="str">
        <x:f>IF(AND(K462="No",P462&lt;40,O462&lt;=4),"High Risk","")</x:f>
      </x:c>
    </x:row>
    <x:row r="463">
      <x:c r="A463" t="s">
        <x:v>520</x:v>
      </x:c>
      <x:c r="B463" t="s">
        <x:v>19</x:v>
      </x:c>
      <x:c r="C463" t="s">
        <x:v>29</x:v>
      </x:c>
      <x:c r="D463" t="s">
        <x:v>66</x:v>
      </x:c>
      <x:c r="E463" t="s">
        <x:v>46</x:v>
      </x:c>
      <x:c r="F463">
        <x:v>5</x:v>
      </x:c>
      <x:c r="G463">
        <x:v>107.44</x:v>
      </x:c>
      <x:c r="H463" t="s">
        <x:v>30</x:v>
      </x:c>
      <x:c r="I463" t="s">
        <x:v>41</x:v>
      </x:c>
      <x:c r="J463" s="1">
        <x:v>45817</x:v>
      </x:c>
      <x:c r="K463" t="s">
        <x:v>27</x:v>
      </x:c>
      <x:c r="M463"/>
      <x:c r="N463">
        <x:v>2</x:v>
      </x:c>
      <x:c r="O463">
        <x:v>9</x:v>
      </x:c>
      <x:c r="P463">
        <x:v>82</x:v>
      </x:c>
      <x:c r="Q463" t="s">
        <x:v>27</x:v>
      </x:c>
      <x:c r="R463" t="n">
        <x:f>IF(subscriptions[[#This Row],[churned]]="Yes",1,0)</x:f>
        <x:v>0</x:v>
      </x:c>
      <x:c r="S463" s="11" t="str">
        <x:f>IF(K463="Yes",(L463-J463)/30.4375,"")</x:f>
      </x:c>
      <x:c r="T463" t="str">
        <x:f>IF(AND(K463="No",P463&lt;40,O463&lt;=4),"High Risk","")</x:f>
      </x:c>
    </x:row>
    <x:row r="464">
      <x:c r="A464" t="s">
        <x:v>521</x:v>
      </x:c>
      <x:c r="B464" t="s">
        <x:v>19</x:v>
      </x:c>
      <x:c r="C464" t="s">
        <x:v>20</x:v>
      </x:c>
      <x:c r="D464" t="s">
        <x:v>66</x:v>
      </x:c>
      <x:c r="E464" t="s">
        <x:v>40</x:v>
      </x:c>
      <x:c r="F464">
        <x:v>5</x:v>
      </x:c>
      <x:c r="G464">
        <x:v>126.4</x:v>
      </x:c>
      <x:c r="H464" t="s">
        <x:v>102</x:v>
      </x:c>
      <x:c r="I464" t="s">
        <x:v>24</x:v>
      </x:c>
      <x:c r="J464" s="1">
        <x:v>44748</x:v>
      </x:c>
      <x:c r="K464" t="s">
        <x:v>25</x:v>
      </x:c>
      <x:c r="L464" s="1">
        <x:v>44842</x:v>
      </x:c>
      <x:c r="M464" t="s">
        <x:v>67</x:v>
      </x:c>
      <x:c r="N464">
        <x:v>1</x:v>
      </x:c>
      <x:c r="O464">
        <x:v>2</x:v>
      </x:c>
      <x:c r="P464">
        <x:v>17</x:v>
      </x:c>
      <x:c r="Q464" t="s">
        <x:v>27</x:v>
      </x:c>
      <x:c r="R464" t="n">
        <x:f>IF(subscriptions[[#This Row],[churned]]="Yes",1,0)</x:f>
        <x:v>1</x:v>
      </x:c>
      <x:c r="S464" s="11" t="n">
        <x:f>IF(K464="Yes",(L464-J464)/30.4375,"")</x:f>
        <x:v>3.0882956878850103</x:v>
      </x:c>
      <x:c r="T464" t="str">
        <x:f>IF(AND(K464="No",P464&lt;40,O464&lt;=4),"High Risk","")</x:f>
      </x:c>
    </x:row>
    <x:row r="465">
      <x:c r="A465" t="s">
        <x:v>522</x:v>
      </x:c>
      <x:c r="B465" t="s">
        <x:v>33</x:v>
      </x:c>
      <x:c r="C465" t="s">
        <x:v>29</x:v>
      </x:c>
      <x:c r="D465" t="s">
        <x:v>39</x:v>
      </x:c>
      <x:c r="E465" t="s">
        <x:v>22</x:v>
      </x:c>
      <x:c r="F465">
        <x:v>59</x:v>
      </x:c>
      <x:c r="G465">
        <x:v>239.1</x:v>
      </x:c>
      <x:c r="H465" t="s">
        <x:v>64</x:v>
      </x:c>
      <x:c r="I465" t="s">
        <x:v>24</x:v>
      </x:c>
      <x:c r="J465" s="1">
        <x:v>45948</x:v>
      </x:c>
      <x:c r="K465" t="s">
        <x:v>27</x:v>
      </x:c>
      <x:c r="M465"/>
      <x:c r="N465">
        <x:v>12</x:v>
      </x:c>
      <x:c r="O465">
        <x:v>9</x:v>
      </x:c>
      <x:c r="P465">
        <x:v>72</x:v>
      </x:c>
      <x:c r="Q465" t="s">
        <x:v>27</x:v>
      </x:c>
      <x:c r="R465" t="n">
        <x:f>IF(subscriptions[[#This Row],[churned]]="Yes",1,0)</x:f>
        <x:v>0</x:v>
      </x:c>
      <x:c r="S465" s="11" t="str">
        <x:f>IF(K465="Yes",(L465-J465)/30.4375,"")</x:f>
      </x:c>
      <x:c r="T465" t="str">
        <x:f>IF(AND(K465="No",P465&lt;40,O465&lt;=4),"High Risk","")</x:f>
      </x:c>
    </x:row>
    <x:row r="466">
      <x:c r="A466" t="s">
        <x:v>523</x:v>
      </x:c>
      <x:c r="B466" t="s">
        <x:v>19</x:v>
      </x:c>
      <x:c r="C466" t="s">
        <x:v>20</x:v>
      </x:c>
      <x:c r="D466" t="s">
        <x:v>66</x:v>
      </x:c>
      <x:c r="E466" t="s">
        <x:v>46</x:v>
      </x:c>
      <x:c r="F466">
        <x:v>1</x:v>
      </x:c>
      <x:c r="G466">
        <x:v>79</x:v>
      </x:c>
      <x:c r="H466" t="s">
        <x:v>30</x:v>
      </x:c>
      <x:c r="I466" t="s">
        <x:v>41</x:v>
      </x:c>
      <x:c r="J466" s="1">
        <x:v>46015</x:v>
      </x:c>
      <x:c r="K466" t="s">
        <x:v>27</x:v>
      </x:c>
      <x:c r="M466"/>
      <x:c r="N466">
        <x:v>11</x:v>
      </x:c>
      <x:c r="O466">
        <x:v>5</x:v>
      </x:c>
      <x:c r="P466">
        <x:v>84</x:v>
      </x:c>
      <x:c r="Q466" t="s">
        <x:v>27</x:v>
      </x:c>
      <x:c r="R466" t="n">
        <x:f>IF(subscriptions[[#This Row],[churned]]="Yes",1,0)</x:f>
        <x:v>0</x:v>
      </x:c>
      <x:c r="S466" s="11" t="str">
        <x:f>IF(K466="Yes",(L466-J466)/30.4375,"")</x:f>
      </x:c>
      <x:c r="T466" t="str">
        <x:f>IF(AND(K466="No",P466&lt;40,O466&lt;=4),"High Risk","")</x:f>
      </x:c>
    </x:row>
    <x:row r="467">
      <x:c r="A467" t="s">
        <x:v>524</x:v>
      </x:c>
      <x:c r="B467" t="s">
        <x:v>38</x:v>
      </x:c>
      <x:c r="C467" t="s">
        <x:v>29</x:v>
      </x:c>
      <x:c r="D467" t="s">
        <x:v>34</x:v>
      </x:c>
      <x:c r="E467" t="s">
        <x:v>22</x:v>
      </x:c>
      <x:c r="F467">
        <x:v>35</x:v>
      </x:c>
      <x:c r="G467">
        <x:v>1031.82</x:v>
      </x:c>
      <x:c r="H467" t="s">
        <x:v>64</x:v>
      </x:c>
      <x:c r="I467" t="s">
        <x:v>41</x:v>
      </x:c>
      <x:c r="J467" s="1">
        <x:v>45409</x:v>
      </x:c>
      <x:c r="K467" t="s">
        <x:v>27</x:v>
      </x:c>
      <x:c r="M467"/>
      <x:c r="N467">
        <x:v>4</x:v>
      </x:c>
      <x:c r="O467">
        <x:v>8</x:v>
      </x:c>
      <x:c r="P467">
        <x:v>41</x:v>
      </x:c>
      <x:c r="Q467" t="s">
        <x:v>27</x:v>
      </x:c>
      <x:c r="R467" t="n">
        <x:f>IF(subscriptions[[#This Row],[churned]]="Yes",1,0)</x:f>
        <x:v>0</x:v>
      </x:c>
      <x:c r="S467" s="11" t="str">
        <x:f>IF(K467="Yes",(L467-J467)/30.4375,"")</x:f>
      </x:c>
      <x:c r="T467" t="str">
        <x:f>IF(AND(K467="No",P467&lt;40,O467&lt;=4),"High Risk","")</x:f>
      </x:c>
    </x:row>
    <x:row r="468">
      <x:c r="A468" t="s">
        <x:v>525</x:v>
      </x:c>
      <x:c r="B468" t="s">
        <x:v>33</x:v>
      </x:c>
      <x:c r="C468" t="s">
        <x:v>29</x:v>
      </x:c>
      <x:c r="D468" t="s">
        <x:v>56</x:v>
      </x:c>
      <x:c r="E468" t="s">
        <x:v>49</x:v>
      </x:c>
      <x:c r="F468">
        <x:v>112</x:v>
      </x:c>
      <x:c r="G468">
        <x:v>435.07</x:v>
      </x:c>
      <x:c r="H468" t="s">
        <x:v>47</x:v>
      </x:c>
      <x:c r="I468" t="s">
        <x:v>73</x:v>
      </x:c>
      <x:c r="J468" s="1">
        <x:v>44861</x:v>
      </x:c>
      <x:c r="K468" t="s">
        <x:v>25</x:v>
      </x:c>
      <x:c r="L468" s="1">
        <x:v>45096</x:v>
      </x:c>
      <x:c r="M468" t="s">
        <x:v>54</x:v>
      </x:c>
      <x:c r="N468">
        <x:v>12</x:v>
      </x:c>
      <x:c r="O468">
        <x:v>1</x:v>
      </x:c>
      <x:c r="P468">
        <x:v>34</x:v>
      </x:c>
      <x:c r="Q468" t="s">
        <x:v>27</x:v>
      </x:c>
      <x:c r="R468" t="n">
        <x:f>IF(subscriptions[[#This Row],[churned]]="Yes",1,0)</x:f>
        <x:v>1</x:v>
      </x:c>
      <x:c r="S468" s="11" t="n">
        <x:f>IF(K468="Yes",(L468-J468)/30.4375,"")</x:f>
        <x:v>7.7207392197125255</x:v>
      </x:c>
      <x:c r="T468" t="str">
        <x:f>IF(AND(K468="No",P468&lt;40,O468&lt;=4),"High Risk","")</x:f>
      </x:c>
    </x:row>
    <x:row r="469">
      <x:c r="A469" t="s">
        <x:v>526</x:v>
      </x:c>
      <x:c r="B469" t="s">
        <x:v>75</x:v>
      </x:c>
      <x:c r="C469" t="s">
        <x:v>29</x:v>
      </x:c>
      <x:c r="D469" t="s">
        <x:v>45</x:v>
      </x:c>
      <x:c r="E469" t="s">
        <x:v>40</x:v>
      </x:c>
      <x:c r="F469">
        <x:v>10</x:v>
      </x:c>
      <x:c r="G469">
        <x:v>996.75</x:v>
      </x:c>
      <x:c r="H469" t="s">
        <x:v>47</x:v>
      </x:c>
      <x:c r="I469" t="s">
        <x:v>24</x:v>
      </x:c>
      <x:c r="J469" s="1">
        <x:v>45424</x:v>
      </x:c>
      <x:c r="K469" t="s">
        <x:v>27</x:v>
      </x:c>
      <x:c r="M469"/>
      <x:c r="N469">
        <x:v>3</x:v>
      </x:c>
      <x:c r="O469">
        <x:v>1</x:v>
      </x:c>
      <x:c r="P469">
        <x:v>64</x:v>
      </x:c>
      <x:c r="Q469" t="s">
        <x:v>27</x:v>
      </x:c>
      <x:c r="R469" t="n">
        <x:f>IF(subscriptions[[#This Row],[churned]]="Yes",1,0)</x:f>
        <x:v>0</x:v>
      </x:c>
      <x:c r="S469" s="11" t="str">
        <x:f>IF(K469="Yes",(L469-J469)/30.4375,"")</x:f>
      </x:c>
      <x:c r="T469" t="str">
        <x:f>IF(AND(K469="No",P469&lt;40,O469&lt;=4),"High Risk","")</x:f>
      </x:c>
    </x:row>
    <x:row r="470">
      <x:c r="A470" t="s">
        <x:v>527</x:v>
      </x:c>
      <x:c r="B470" t="s">
        <x:v>38</x:v>
      </x:c>
      <x:c r="C470" t="s">
        <x:v>29</x:v>
      </x:c>
      <x:c r="D470" t="s">
        <x:v>53</x:v>
      </x:c>
      <x:c r="E470" t="s">
        <x:v>46</x:v>
      </x:c>
      <x:c r="F470">
        <x:v>3</x:v>
      </x:c>
      <x:c r="G470">
        <x:v>219.9</x:v>
      </x:c>
      <x:c r="H470" t="s">
        <x:v>64</x:v>
      </x:c>
      <x:c r="I470" t="s">
        <x:v>41</x:v>
      </x:c>
      <x:c r="J470" s="1">
        <x:v>46010</x:v>
      </x:c>
      <x:c r="K470" t="s">
        <x:v>27</x:v>
      </x:c>
      <x:c r="M470"/>
      <x:c r="N470">
        <x:v>8</x:v>
      </x:c>
      <x:c r="O470">
        <x:v>2</x:v>
      </x:c>
      <x:c r="P470">
        <x:v>45</x:v>
      </x:c>
      <x:c r="Q470" t="s">
        <x:v>27</x:v>
      </x:c>
      <x:c r="R470" t="n">
        <x:f>IF(subscriptions[[#This Row],[churned]]="Yes",1,0)</x:f>
        <x:v>0</x:v>
      </x:c>
      <x:c r="S470" s="11" t="str">
        <x:f>IF(K470="Yes",(L470-J470)/30.4375,"")</x:f>
      </x:c>
      <x:c r="T470" t="str">
        <x:f>IF(AND(K470="No",P470&lt;40,O470&lt;=4),"High Risk","")</x:f>
      </x:c>
    </x:row>
    <x:row r="471">
      <x:c r="A471" t="s">
        <x:v>528</x:v>
      </x:c>
      <x:c r="B471" t="s">
        <x:v>19</x:v>
      </x:c>
      <x:c r="C471" t="s">
        <x:v>20</x:v>
      </x:c>
      <x:c r="D471" t="s">
        <x:v>39</x:v>
      </x:c>
      <x:c r="E471" t="s">
        <x:v>46</x:v>
      </x:c>
      <x:c r="F471">
        <x:v>5</x:v>
      </x:c>
      <x:c r="G471">
        <x:v>126.4</x:v>
      </x:c>
      <x:c r="H471" t="s">
        <x:v>30</x:v>
      </x:c>
      <x:c r="I471" t="s">
        <x:v>24</x:v>
      </x:c>
      <x:c r="J471" s="1">
        <x:v>45577</x:v>
      </x:c>
      <x:c r="K471" t="s">
        <x:v>25</x:v>
      </x:c>
      <x:c r="L471" s="1">
        <x:v>45756</x:v>
      </x:c>
      <x:c r="M471" t="s">
        <x:v>57</x:v>
      </x:c>
      <x:c r="N471">
        <x:v>4</x:v>
      </x:c>
      <x:c r="O471">
        <x:v>1</x:v>
      </x:c>
      <x:c r="P471">
        <x:v>21</x:v>
      </x:c>
      <x:c r="Q471" t="s">
        <x:v>27</x:v>
      </x:c>
      <x:c r="R471" t="n">
        <x:f>IF(subscriptions[[#This Row],[churned]]="Yes",1,0)</x:f>
        <x:v>1</x:v>
      </x:c>
      <x:c r="S471" s="11" t="n">
        <x:f>IF(K471="Yes",(L471-J471)/30.4375,"")</x:f>
        <x:v>5.880903490759754</x:v>
      </x:c>
      <x:c r="T471" t="str">
        <x:f>IF(AND(K471="No",P471&lt;40,O471&lt;=4),"High Risk","")</x:f>
      </x:c>
    </x:row>
    <x:row r="472">
      <x:c r="A472" t="s">
        <x:v>529</x:v>
      </x:c>
      <x:c r="B472" t="s">
        <x:v>38</x:v>
      </x:c>
      <x:c r="C472" t="s">
        <x:v>29</x:v>
      </x:c>
      <x:c r="D472" t="s">
        <x:v>39</x:v>
      </x:c>
      <x:c r="E472" t="s">
        <x:v>22</x:v>
      </x:c>
      <x:c r="F472">
        <x:v>62</x:v>
      </x:c>
      <x:c r="G472">
        <x:v>1716.87</x:v>
      </x:c>
      <x:c r="H472" t="s">
        <x:v>64</x:v>
      </x:c>
      <x:c r="I472" t="s">
        <x:v>24</x:v>
      </x:c>
      <x:c r="J472" s="1">
        <x:v>45191</x:v>
      </x:c>
      <x:c r="K472" t="s">
        <x:v>25</x:v>
      </x:c>
      <x:c r="L472" s="1">
        <x:v>45811</x:v>
      </x:c>
      <x:c r="M472" t="s">
        <x:v>67</x:v>
      </x:c>
      <x:c r="N472">
        <x:v>10</x:v>
      </x:c>
      <x:c r="O472">
        <x:v>4</x:v>
      </x:c>
      <x:c r="P472">
        <x:v>28</x:v>
      </x:c>
      <x:c r="Q472" t="s">
        <x:v>27</x:v>
      </x:c>
      <x:c r="R472" t="n">
        <x:f>IF(subscriptions[[#This Row],[churned]]="Yes",1,0)</x:f>
        <x:v>1</x:v>
      </x:c>
      <x:c r="S472" s="11" t="n">
        <x:f>IF(K472="Yes",(L472-J472)/30.4375,"")</x:f>
        <x:v>20.369609856262834</x:v>
      </x:c>
      <x:c r="T472" t="str">
        <x:f>IF(AND(K472="No",P472&lt;40,O472&lt;=4),"High Risk","")</x:f>
      </x:c>
    </x:row>
    <x:row r="473">
      <x:c r="A473" t="s">
        <x:v>530</x:v>
      </x:c>
      <x:c r="B473" t="s">
        <x:v>33</x:v>
      </x:c>
      <x:c r="C473" t="s">
        <x:v>29</x:v>
      </x:c>
      <x:c r="D473" t="s">
        <x:v>39</x:v>
      </x:c>
      <x:c r="E473" t="s">
        <x:v>40</x:v>
      </x:c>
      <x:c r="F473">
        <x:v>5</x:v>
      </x:c>
      <x:c r="G473">
        <x:v>39.44</x:v>
      </x:c>
      <x:c r="H473" t="s">
        <x:v>36</x:v>
      </x:c>
      <x:c r="I473" t="s">
        <x:v>59</x:v>
      </x:c>
      <x:c r="J473" s="1">
        <x:v>44804</x:v>
      </x:c>
      <x:c r="K473" t="s">
        <x:v>25</x:v>
      </x:c>
      <x:c r="L473" s="1">
        <x:v>44920</x:v>
      </x:c>
      <x:c r="M473" t="s">
        <x:v>50</x:v>
      </x:c>
      <x:c r="N473">
        <x:v>12</x:v>
      </x:c>
      <x:c r="O473">
        <x:v>1</x:v>
      </x:c>
      <x:c r="P473">
        <x:v>44</x:v>
      </x:c>
      <x:c r="Q473" t="s">
        <x:v>27</x:v>
      </x:c>
      <x:c r="R473" t="n">
        <x:f>IF(subscriptions[[#This Row],[churned]]="Yes",1,0)</x:f>
        <x:v>1</x:v>
      </x:c>
      <x:c r="S473" s="11" t="n">
        <x:f>IF(K473="Yes",(L473-J473)/30.4375,"")</x:f>
        <x:v>3.811088295687885</x:v>
      </x:c>
      <x:c r="T473" t="str">
        <x:f>IF(AND(K473="No",P473&lt;40,O473&lt;=4),"High Risk","")</x:f>
      </x:c>
    </x:row>
    <x:row r="474">
      <x:c r="A474" t="s">
        <x:v>531</x:v>
      </x:c>
      <x:c r="B474" t="s">
        <x:v>33</x:v>
      </x:c>
      <x:c r="C474" t="s">
        <x:v>20</x:v>
      </x:c>
      <x:c r="D474" t="s">
        <x:v>34</x:v>
      </x:c>
      <x:c r="E474" t="s">
        <x:v>22</x:v>
      </x:c>
      <x:c r="F474">
        <x:v>48</x:v>
      </x:c>
      <x:c r="G474">
        <x:v>233.45</x:v>
      </x:c>
      <x:c r="H474" t="s">
        <x:v>30</x:v>
      </x:c>
      <x:c r="I474" t="s">
        <x:v>24</x:v>
      </x:c>
      <x:c r="J474" s="1">
        <x:v>45842</x:v>
      </x:c>
      <x:c r="K474" t="s">
        <x:v>27</x:v>
      </x:c>
      <x:c r="M474"/>
      <x:c r="N474">
        <x:v>0</x:v>
      </x:c>
      <x:c r="O474">
        <x:v>7</x:v>
      </x:c>
      <x:c r="P474">
        <x:v>40</x:v>
      </x:c>
      <x:c r="Q474" t="s">
        <x:v>27</x:v>
      </x:c>
      <x:c r="R474" t="n">
        <x:f>IF(subscriptions[[#This Row],[churned]]="Yes",1,0)</x:f>
        <x:v>0</x:v>
      </x:c>
      <x:c r="S474" s="11" t="str">
        <x:f>IF(K474="Yes",(L474-J474)/30.4375,"")</x:f>
      </x:c>
      <x:c r="T474" t="str">
        <x:f>IF(AND(K474="No",P474&lt;40,O474&lt;=4),"High Risk","")</x:f>
      </x:c>
    </x:row>
    <x:row r="475">
      <x:c r="A475" t="s">
        <x:v>532</x:v>
      </x:c>
      <x:c r="B475" t="s">
        <x:v>19</x:v>
      </x:c>
      <x:c r="C475" t="s">
        <x:v>29</x:v>
      </x:c>
      <x:c r="D475" t="s">
        <x:v>39</x:v>
      </x:c>
      <x:c r="E475" t="s">
        <x:v>40</x:v>
      </x:c>
      <x:c r="F475">
        <x:v>7</x:v>
      </x:c>
      <x:c r="G475">
        <x:v>127.59</x:v>
      </x:c>
      <x:c r="H475" t="s">
        <x:v>47</x:v>
      </x:c>
      <x:c r="I475" t="s">
        <x:v>41</x:v>
      </x:c>
      <x:c r="J475" s="1">
        <x:v>44880</x:v>
      </x:c>
      <x:c r="K475" t="s">
        <x:v>25</x:v>
      </x:c>
      <x:c r="L475" s="1">
        <x:v>44964</x:v>
      </x:c>
      <x:c r="M475" t="s">
        <x:v>86</x:v>
      </x:c>
      <x:c r="N475">
        <x:v>1</x:v>
      </x:c>
      <x:c r="O475">
        <x:v>5</x:v>
      </x:c>
      <x:c r="P475">
        <x:v>45</x:v>
      </x:c>
      <x:c r="Q475" t="s">
        <x:v>27</x:v>
      </x:c>
      <x:c r="R475" t="n">
        <x:f>IF(subscriptions[[#This Row],[churned]]="Yes",1,0)</x:f>
        <x:v>1</x:v>
      </x:c>
      <x:c r="S475" s="11" t="n">
        <x:f>IF(K475="Yes",(L475-J475)/30.4375,"")</x:f>
        <x:v>2.759753593429158</x:v>
      </x:c>
      <x:c r="T475" t="str">
        <x:f>IF(AND(K475="No",P475&lt;40,O475&lt;=4),"High Risk","")</x:f>
      </x:c>
    </x:row>
    <x:row r="476">
      <x:c r="A476" t="s">
        <x:v>533</x:v>
      </x:c>
      <x:c r="B476" t="s">
        <x:v>19</x:v>
      </x:c>
      <x:c r="C476" t="s">
        <x:v>29</x:v>
      </x:c>
      <x:c r="D476" t="s">
        <x:v>39</x:v>
      </x:c>
      <x:c r="E476" t="s">
        <x:v>46</x:v>
      </x:c>
      <x:c r="F476">
        <x:v>1</x:v>
      </x:c>
      <x:c r="G476">
        <x:v>67.150000000000006</x:v>
      </x:c>
      <x:c r="H476" t="s">
        <x:v>64</x:v>
      </x:c>
      <x:c r="I476" t="s">
        <x:v>24</x:v>
      </x:c>
      <x:c r="J476" s="1">
        <x:v>46019</x:v>
      </x:c>
      <x:c r="K476" t="s">
        <x:v>27</x:v>
      </x:c>
      <x:c r="M476"/>
      <x:c r="N476">
        <x:v>11</x:v>
      </x:c>
      <x:c r="O476">
        <x:v>6</x:v>
      </x:c>
      <x:c r="P476">
        <x:v>30</x:v>
      </x:c>
      <x:c r="Q476" t="s">
        <x:v>27</x:v>
      </x:c>
      <x:c r="R476" t="n">
        <x:f>IF(subscriptions[[#This Row],[churned]]="Yes",1,0)</x:f>
        <x:v>0</x:v>
      </x:c>
      <x:c r="S476" s="11" t="str">
        <x:f>IF(K476="Yes",(L476-J476)/30.4375,"")</x:f>
      </x:c>
      <x:c r="T476" t="str">
        <x:f>IF(AND(K476="No",P476&lt;40,O476&lt;=4),"High Risk","")</x:f>
      </x:c>
    </x:row>
    <x:row r="477">
      <x:c r="A477" t="s">
        <x:v>534</x:v>
      </x:c>
      <x:c r="B477" t="s">
        <x:v>19</x:v>
      </x:c>
      <x:c r="C477" t="s">
        <x:v>29</x:v>
      </x:c>
      <x:c r="D477" t="s">
        <x:v>39</x:v>
      </x:c>
      <x:c r="E477" t="s">
        <x:v>46</x:v>
      </x:c>
      <x:c r="F477">
        <x:v>2</x:v>
      </x:c>
      <x:c r="G477">
        <x:v>77.22</x:v>
      </x:c>
      <x:c r="H477" t="s">
        <x:v>23</x:v>
      </x:c>
      <x:c r="I477" t="s">
        <x:v>73</x:v>
      </x:c>
      <x:c r="J477" s="1">
        <x:v>45822</x:v>
      </x:c>
      <x:c r="K477" t="s">
        <x:v>27</x:v>
      </x:c>
      <x:c r="M477"/>
      <x:c r="N477">
        <x:v>1</x:v>
      </x:c>
      <x:c r="O477">
        <x:v>3</x:v>
      </x:c>
      <x:c r="P477">
        <x:v>15</x:v>
      </x:c>
      <x:c r="Q477" t="s">
        <x:v>27</x:v>
      </x:c>
      <x:c r="R477" t="n">
        <x:f>IF(subscriptions[[#This Row],[churned]]="Yes",1,0)</x:f>
        <x:v>0</x:v>
      </x:c>
      <x:c r="S477" s="11" t="str">
        <x:f>IF(K477="Yes",(L477-J477)/30.4375,"")</x:f>
      </x:c>
      <x:c r="T477" t="str">
        <x:f>IF(AND(K477="No",P477&lt;40,O477&lt;=4),"High Risk","")</x:f>
        <x:v>High Risk</x:v>
      </x:c>
    </x:row>
    <x:row r="478">
      <x:c r="A478" t="s">
        <x:v>535</x:v>
      </x:c>
      <x:c r="B478" t="s">
        <x:v>19</x:v>
      </x:c>
      <x:c r="C478" t="s">
        <x:v>20</x:v>
      </x:c>
      <x:c r="D478" t="s">
        <x:v>45</x:v>
      </x:c>
      <x:c r="E478" t="s">
        <x:v>22</x:v>
      </x:c>
      <x:c r="F478">
        <x:v>67</x:v>
      </x:c>
      <x:c r="G478">
        <x:v>861.1</x:v>
      </x:c>
      <x:c r="H478" t="s">
        <x:v>30</x:v>
      </x:c>
      <x:c r="I478" t="s">
        <x:v>59</x:v>
      </x:c>
      <x:c r="J478" s="1">
        <x:v>45822</x:v>
      </x:c>
      <x:c r="K478" t="s">
        <x:v>27</x:v>
      </x:c>
      <x:c r="M478"/>
      <x:c r="N478">
        <x:v>11</x:v>
      </x:c>
      <x:c r="O478">
        <x:v>8</x:v>
      </x:c>
      <x:c r="P478">
        <x:v>76</x:v>
      </x:c>
      <x:c r="Q478" t="s">
        <x:v>27</x:v>
      </x:c>
      <x:c r="R478" t="n">
        <x:f>IF(subscriptions[[#This Row],[churned]]="Yes",1,0)</x:f>
        <x:v>0</x:v>
      </x:c>
      <x:c r="S478" s="11" t="str">
        <x:f>IF(K478="Yes",(L478-J478)/30.4375,"")</x:f>
      </x:c>
      <x:c r="T478" t="str">
        <x:f>IF(AND(K478="No",P478&lt;40,O478&lt;=4),"High Risk","")</x:f>
      </x:c>
    </x:row>
    <x:row r="479">
      <x:c r="A479" t="s">
        <x:v>536</x:v>
      </x:c>
      <x:c r="B479" t="s">
        <x:v>38</x:v>
      </x:c>
      <x:c r="C479" t="s">
        <x:v>20</x:v>
      </x:c>
      <x:c r="D479" t="s">
        <x:v>21</x:v>
      </x:c>
      <x:c r="E479" t="s">
        <x:v>46</x:v>
      </x:c>
      <x:c r="F479">
        <x:v>3</x:v>
      </x:c>
      <x:c r="G479">
        <x:v>258.7</x:v>
      </x:c>
      <x:c r="H479" t="s">
        <x:v>64</x:v>
      </x:c>
      <x:c r="I479" t="s">
        <x:v>41</x:v>
      </x:c>
      <x:c r="J479" s="1">
        <x:v>44609</x:v>
      </x:c>
      <x:c r="K479" t="s">
        <x:v>25</x:v>
      </x:c>
      <x:c r="L479" s="1">
        <x:v>45471</x:v>
      </x:c>
      <x:c r="M479" t="s">
        <x:v>50</x:v>
      </x:c>
      <x:c r="N479">
        <x:v>1</x:v>
      </x:c>
      <x:c r="O479">
        <x:v>1</x:v>
      </x:c>
      <x:c r="P479">
        <x:v>11</x:v>
      </x:c>
      <x:c r="Q479" t="s">
        <x:v>27</x:v>
      </x:c>
      <x:c r="R479" t="n">
        <x:f>IF(subscriptions[[#This Row],[churned]]="Yes",1,0)</x:f>
        <x:v>1</x:v>
      </x:c>
      <x:c r="S479" s="11" t="n">
        <x:f>IF(K479="Yes",(L479-J479)/30.4375,"")</x:f>
        <x:v>28.320328542094455</x:v>
      </x:c>
      <x:c r="T479" t="str">
        <x:f>IF(AND(K479="No",P479&lt;40,O479&lt;=4),"High Risk","")</x:f>
      </x:c>
    </x:row>
    <x:row r="480">
      <x:c r="A480" t="s">
        <x:v>537</x:v>
      </x:c>
      <x:c r="B480" t="s">
        <x:v>33</x:v>
      </x:c>
      <x:c r="C480" t="s">
        <x:v>20</x:v>
      </x:c>
      <x:c r="D480" t="s">
        <x:v>56</x:v>
      </x:c>
      <x:c r="E480" t="s">
        <x:v>40</x:v>
      </x:c>
      <x:c r="F480">
        <x:v>10</x:v>
      </x:c>
      <x:c r="G480">
        <x:v>68.150000000000006</x:v>
      </x:c>
      <x:c r="H480" t="s">
        <x:v>64</x:v>
      </x:c>
      <x:c r="I480" t="s">
        <x:v>24</x:v>
      </x:c>
      <x:c r="J480" s="1">
        <x:v>45236</x:v>
      </x:c>
      <x:c r="K480" t="s">
        <x:v>25</x:v>
      </x:c>
      <x:c r="L480" s="1">
        <x:v>45737</x:v>
      </x:c>
      <x:c r="M480" t="s">
        <x:v>86</x:v>
      </x:c>
      <x:c r="N480">
        <x:v>2</x:v>
      </x:c>
      <x:c r="O480">
        <x:v>1</x:v>
      </x:c>
      <x:c r="P480">
        <x:v>21</x:v>
      </x:c>
      <x:c r="Q480" t="s">
        <x:v>27</x:v>
      </x:c>
      <x:c r="R480" t="n">
        <x:f>IF(subscriptions[[#This Row],[churned]]="Yes",1,0)</x:f>
        <x:v>1</x:v>
      </x:c>
      <x:c r="S480" s="11" t="n">
        <x:f>IF(K480="Yes",(L480-J480)/30.4375,"")</x:f>
        <x:v>16.459958932238195</x:v>
      </x:c>
      <x:c r="T480" t="str">
        <x:f>IF(AND(K480="No",P480&lt;40,O480&lt;=4),"High Risk","")</x:f>
      </x:c>
    </x:row>
    <x:row r="481">
      <x:c r="A481" t="s">
        <x:v>538</x:v>
      </x:c>
      <x:c r="B481" t="s">
        <x:v>38</x:v>
      </x:c>
      <x:c r="C481" t="s">
        <x:v>20</x:v>
      </x:c>
      <x:c r="D481" t="s">
        <x:v>43</x:v>
      </x:c>
      <x:c r="E481" t="s">
        <x:v>40</x:v>
      </x:c>
      <x:c r="F481">
        <x:v>5</x:v>
      </x:c>
      <x:c r="G481">
        <x:v>318.39999999999998</x:v>
      </x:c>
      <x:c r="H481" t="s">
        <x:v>23</x:v>
      </x:c>
      <x:c r="I481" t="s">
        <x:v>41</x:v>
      </x:c>
      <x:c r="J481" s="1">
        <x:v>44965</x:v>
      </x:c>
      <x:c r="K481" t="s">
        <x:v>25</x:v>
      </x:c>
      <x:c r="L481" s="1">
        <x:v>44973</x:v>
      </x:c>
      <x:c r="M481" t="s">
        <x:v>60</x:v>
      </x:c>
      <x:c r="N481">
        <x:v>8</x:v>
      </x:c>
      <x:c r="O481">
        <x:v>6</x:v>
      </x:c>
      <x:c r="P481">
        <x:v>34</x:v>
      </x:c>
      <x:c r="Q481" t="s">
        <x:v>27</x:v>
      </x:c>
      <x:c r="R481" t="n">
        <x:f>IF(subscriptions[[#This Row],[churned]]="Yes",1,0)</x:f>
        <x:v>1</x:v>
      </x:c>
      <x:c r="S481" s="11" t="n">
        <x:f>IF(K481="Yes",(L481-J481)/30.4375,"")</x:f>
        <x:v>0.26283367556468173</x:v>
      </x:c>
      <x:c r="T481" t="str">
        <x:f>IF(AND(K481="No",P481&lt;40,O481&lt;=4),"High Risk","")</x:f>
      </x:c>
    </x:row>
    <x:row r="482">
      <x:c r="A482" t="s">
        <x:v>539</x:v>
      </x:c>
      <x:c r="B482" t="s">
        <x:v>75</x:v>
      </x:c>
      <x:c r="C482" t="s">
        <x:v>20</x:v>
      </x:c>
      <x:c r="D482" t="s">
        <x:v>72</x:v>
      </x:c>
      <x:c r="E482" t="s">
        <x:v>49</x:v>
      </x:c>
      <x:c r="F482">
        <x:v>112</x:v>
      </x:c>
      <x:c r="G482">
        <x:v>8807.35</x:v>
      </x:c>
      <x:c r="H482" t="s">
        <x:v>23</x:v>
      </x:c>
      <x:c r="I482" t="s">
        <x:v>41</x:v>
      </x:c>
      <x:c r="J482" s="1">
        <x:v>45464</x:v>
      </x:c>
      <x:c r="K482" t="s">
        <x:v>27</x:v>
      </x:c>
      <x:c r="M482"/>
      <x:c r="N482">
        <x:v>2</x:v>
      </x:c>
      <x:c r="O482">
        <x:v>2</x:v>
      </x:c>
      <x:c r="P482">
        <x:v>61</x:v>
      </x:c>
      <x:c r="Q482" t="s">
        <x:v>27</x:v>
      </x:c>
      <x:c r="R482" t="n">
        <x:f>IF(subscriptions[[#This Row],[churned]]="Yes",1,0)</x:f>
        <x:v>0</x:v>
      </x:c>
      <x:c r="S482" s="11" t="str">
        <x:f>IF(K482="Yes",(L482-J482)/30.4375,"")</x:f>
      </x:c>
      <x:c r="T482" t="str">
        <x:f>IF(AND(K482="No",P482&lt;40,O482&lt;=4),"High Risk","")</x:f>
      </x:c>
    </x:row>
    <x:row r="483">
      <x:c r="A483" t="s">
        <x:v>540</x:v>
      </x:c>
      <x:c r="B483" t="s">
        <x:v>19</x:v>
      </x:c>
      <x:c r="C483" t="s">
        <x:v>29</x:v>
      </x:c>
      <x:c r="D483" t="s">
        <x:v>66</x:v>
      </x:c>
      <x:c r="E483" t="s">
        <x:v>40</x:v>
      </x:c>
      <x:c r="F483">
        <x:v>27</x:v>
      </x:c>
      <x:c r="G483">
        <x:v>329.03</x:v>
      </x:c>
      <x:c r="H483" t="s">
        <x:v>64</x:v>
      </x:c>
      <x:c r="I483" t="s">
        <x:v>24</x:v>
      </x:c>
      <x:c r="J483" s="1">
        <x:v>45567</x:v>
      </x:c>
      <x:c r="K483" t="s">
        <x:v>27</x:v>
      </x:c>
      <x:c r="M483"/>
      <x:c r="N483">
        <x:v>8</x:v>
      </x:c>
      <x:c r="O483">
        <x:v>6</x:v>
      </x:c>
      <x:c r="P483">
        <x:v>80</x:v>
      </x:c>
      <x:c r="Q483" t="s">
        <x:v>27</x:v>
      </x:c>
      <x:c r="R483" t="n">
        <x:f>IF(subscriptions[[#This Row],[churned]]="Yes",1,0)</x:f>
        <x:v>0</x:v>
      </x:c>
      <x:c r="S483" s="11" t="str">
        <x:f>IF(K483="Yes",(L483-J483)/30.4375,"")</x:f>
      </x:c>
      <x:c r="T483" t="str">
        <x:f>IF(AND(K483="No",P483&lt;40,O483&lt;=4),"High Risk","")</x:f>
      </x:c>
    </x:row>
    <x:row r="484">
      <x:c r="A484" t="s">
        <x:v>541</x:v>
      </x:c>
      <x:c r="B484" t="s">
        <x:v>33</x:v>
      </x:c>
      <x:c r="C484" t="s">
        <x:v>29</x:v>
      </x:c>
      <x:c r="D484" t="s">
        <x:v>66</x:v>
      </x:c>
      <x:c r="E484" t="s">
        <x:v>40</x:v>
      </x:c>
      <x:c r="F484">
        <x:v>6</x:v>
      </x:c>
      <x:c r="G484">
        <x:v>43.14</x:v>
      </x:c>
      <x:c r="H484" t="s">
        <x:v>64</x:v>
      </x:c>
      <x:c r="I484" t="s">
        <x:v>24</x:v>
      </x:c>
      <x:c r="J484" s="1">
        <x:v>44614</x:v>
      </x:c>
      <x:c r="K484" t="s">
        <x:v>25</x:v>
      </x:c>
      <x:c r="L484" s="1">
        <x:v>44784</x:v>
      </x:c>
      <x:c r="M484" t="s">
        <x:v>60</x:v>
      </x:c>
      <x:c r="N484">
        <x:v>6</x:v>
      </x:c>
      <x:c r="O484">
        <x:v>1</x:v>
      </x:c>
      <x:c r="P484">
        <x:v>21</x:v>
      </x:c>
      <x:c r="Q484" t="s">
        <x:v>27</x:v>
      </x:c>
      <x:c r="R484" t="n">
        <x:f>IF(subscriptions[[#This Row],[churned]]="Yes",1,0)</x:f>
        <x:v>1</x:v>
      </x:c>
      <x:c r="S484" s="11" t="n">
        <x:f>IF(K484="Yes",(L484-J484)/30.4375,"")</x:f>
        <x:v>5.585215605749487</x:v>
      </x:c>
      <x:c r="T484" t="str">
        <x:f>IF(AND(K484="No",P484&lt;40,O484&lt;=4),"High Risk","")</x:f>
      </x:c>
    </x:row>
    <x:row r="485">
      <x:c r="A485" t="s">
        <x:v>542</x:v>
      </x:c>
      <x:c r="B485" t="s">
        <x:v>38</x:v>
      </x:c>
      <x:c r="C485" t="s">
        <x:v>20</x:v>
      </x:c>
      <x:c r="D485" t="s">
        <x:v>72</x:v>
      </x:c>
      <x:c r="E485" t="s">
        <x:v>40</x:v>
      </x:c>
      <x:c r="F485">
        <x:v>29</x:v>
      </x:c>
      <x:c r="G485">
        <x:v>1034.8</x:v>
      </x:c>
      <x:c r="H485" t="s">
        <x:v>23</x:v>
      </x:c>
      <x:c r="I485" t="s">
        <x:v>41</x:v>
      </x:c>
      <x:c r="J485" s="1">
        <x:v>45072</x:v>
      </x:c>
      <x:c r="K485" t="s">
        <x:v>25</x:v>
      </x:c>
      <x:c r="L485" s="1">
        <x:v>45095</x:v>
      </x:c>
      <x:c r="M485" t="s">
        <x:v>50</x:v>
      </x:c>
      <x:c r="N485">
        <x:v>7</x:v>
      </x:c>
      <x:c r="O485">
        <x:v>3</x:v>
      </x:c>
      <x:c r="P485">
        <x:v>32</x:v>
      </x:c>
      <x:c r="Q485" t="s">
        <x:v>27</x:v>
      </x:c>
      <x:c r="R485" t="n">
        <x:f>IF(subscriptions[[#This Row],[churned]]="Yes",1,0)</x:f>
        <x:v>1</x:v>
      </x:c>
      <x:c r="S485" s="11" t="n">
        <x:f>IF(K485="Yes",(L485-J485)/30.4375,"")</x:f>
        <x:v>0.75564681724846</x:v>
      </x:c>
      <x:c r="T485" t="str">
        <x:f>IF(AND(K485="No",P485&lt;40,O485&lt;=4),"High Risk","")</x:f>
      </x:c>
    </x:row>
    <x:row r="486">
      <x:c r="A486" t="s">
        <x:v>543</x:v>
      </x:c>
      <x:c r="B486" t="s">
        <x:v>19</x:v>
      </x:c>
      <x:c r="C486" t="s">
        <x:v>29</x:v>
      </x:c>
      <x:c r="D486" t="s">
        <x:v>34</x:v>
      </x:c>
      <x:c r="E486" t="s">
        <x:v>46</x:v>
      </x:c>
      <x:c r="F486">
        <x:v>2</x:v>
      </x:c>
      <x:c r="G486">
        <x:v>77.22</x:v>
      </x:c>
      <x:c r="H486" t="s">
        <x:v>23</x:v>
      </x:c>
      <x:c r="I486" t="s">
        <x:v>41</x:v>
      </x:c>
      <x:c r="J486" s="1">
        <x:v>45182</x:v>
      </x:c>
      <x:c r="K486" t="s">
        <x:v>25</x:v>
      </x:c>
      <x:c r="L486" s="1">
        <x:v>45745</x:v>
      </x:c>
      <x:c r="M486" t="s">
        <x:v>57</x:v>
      </x:c>
      <x:c r="N486">
        <x:v>7</x:v>
      </x:c>
      <x:c r="O486">
        <x:v>1</x:v>
      </x:c>
      <x:c r="P486">
        <x:v>30</x:v>
      </x:c>
      <x:c r="Q486" t="s">
        <x:v>27</x:v>
      </x:c>
      <x:c r="R486" t="n">
        <x:f>IF(subscriptions[[#This Row],[churned]]="Yes",1,0)</x:f>
        <x:v>1</x:v>
      </x:c>
      <x:c r="S486" s="11" t="n">
        <x:f>IF(K486="Yes",(L486-J486)/30.4375,"")</x:f>
        <x:v>18.496919917864478</x:v>
      </x:c>
      <x:c r="T486" t="str">
        <x:f>IF(AND(K486="No",P486&lt;40,O486&lt;=4),"High Risk","")</x:f>
      </x:c>
    </x:row>
    <x:row r="487">
      <x:c r="A487" t="s">
        <x:v>544</x:v>
      </x:c>
      <x:c r="B487" t="s">
        <x:v>33</x:v>
      </x:c>
      <x:c r="C487" t="s">
        <x:v>20</x:v>
      </x:c>
      <x:c r="D487" t="s">
        <x:v>56</x:v>
      </x:c>
      <x:c r="E487" t="s">
        <x:v>22</x:v>
      </x:c>
      <x:c r="F487">
        <x:v>25</x:v>
      </x:c>
      <x:c r="G487">
        <x:v>133.4</x:v>
      </x:c>
      <x:c r="H487" t="s">
        <x:v>36</x:v>
      </x:c>
      <x:c r="I487" t="s">
        <x:v>59</x:v>
      </x:c>
      <x:c r="J487" s="1">
        <x:v>45625</x:v>
      </x:c>
      <x:c r="K487" t="s">
        <x:v>25</x:v>
      </x:c>
      <x:c r="L487" s="1">
        <x:v>45685</x:v>
      </x:c>
      <x:c r="M487" t="s">
        <x:v>57</x:v>
      </x:c>
      <x:c r="N487">
        <x:v>10</x:v>
      </x:c>
      <x:c r="O487">
        <x:v>4</x:v>
      </x:c>
      <x:c r="P487">
        <x:v>29</x:v>
      </x:c>
      <x:c r="Q487" t="s">
        <x:v>27</x:v>
      </x:c>
      <x:c r="R487" t="n">
        <x:f>IF(subscriptions[[#This Row],[churned]]="Yes",1,0)</x:f>
        <x:v>1</x:v>
      </x:c>
      <x:c r="S487" s="11" t="n">
        <x:f>IF(K487="Yes",(L487-J487)/30.4375,"")</x:f>
        <x:v>1.9712525667351128</x:v>
      </x:c>
      <x:c r="T487" t="str">
        <x:f>IF(AND(K487="No",P487&lt;40,O487&lt;=4),"High Risk","")</x:f>
      </x:c>
    </x:row>
    <x:row r="488">
      <x:c r="A488" t="s">
        <x:v>545</x:v>
      </x:c>
      <x:c r="B488" t="s">
        <x:v>33</x:v>
      </x:c>
      <x:c r="C488" t="s">
        <x:v>20</x:v>
      </x:c>
      <x:c r="D488" t="s">
        <x:v>39</x:v>
      </x:c>
      <x:c r="E488" t="s">
        <x:v>46</x:v>
      </x:c>
      <x:c r="F488">
        <x:v>7</x:v>
      </x:c>
      <x:c r="G488">
        <x:v>55.1</x:v>
      </x:c>
      <x:c r="H488" t="s">
        <x:v>102</x:v>
      </x:c>
      <x:c r="I488" t="s">
        <x:v>41</x:v>
      </x:c>
      <x:c r="J488" s="1">
        <x:v>45485</x:v>
      </x:c>
      <x:c r="K488" t="s">
        <x:v>25</x:v>
      </x:c>
      <x:c r="L488" s="1">
        <x:v>45933</x:v>
      </x:c>
      <x:c r="M488" t="s">
        <x:v>86</x:v>
      </x:c>
      <x:c r="N488">
        <x:v>8</x:v>
      </x:c>
      <x:c r="O488">
        <x:v>3</x:v>
      </x:c>
      <x:c r="P488">
        <x:v>50</x:v>
      </x:c>
      <x:c r="Q488" t="s">
        <x:v>27</x:v>
      </x:c>
      <x:c r="R488" t="n">
        <x:f>IF(subscriptions[[#This Row],[churned]]="Yes",1,0)</x:f>
        <x:v>1</x:v>
      </x:c>
      <x:c r="S488" s="11" t="n">
        <x:f>IF(K488="Yes",(L488-J488)/30.4375,"")</x:f>
        <x:v>14.718685831622176</x:v>
      </x:c>
      <x:c r="T488" t="str">
        <x:f>IF(AND(K488="No",P488&lt;40,O488&lt;=4),"High Risk","")</x:f>
      </x:c>
    </x:row>
    <x:row r="489">
      <x:c r="A489" t="s">
        <x:v>546</x:v>
      </x:c>
      <x:c r="B489" t="s">
        <x:v>38</x:v>
      </x:c>
      <x:c r="C489" t="s">
        <x:v>29</x:v>
      </x:c>
      <x:c r="D489" t="s">
        <x:v>66</x:v>
      </x:c>
      <x:c r="E489" t="s">
        <x:v>46</x:v>
      </x:c>
      <x:c r="F489">
        <x:v>7</x:v>
      </x:c>
      <x:c r="G489">
        <x:v>321.38</x:v>
      </x:c>
      <x:c r="H489" t="s">
        <x:v>36</x:v>
      </x:c>
      <x:c r="I489" t="s">
        <x:v>24</x:v>
      </x:c>
      <x:c r="J489" s="1">
        <x:v>44825</x:v>
      </x:c>
      <x:c r="K489" t="s">
        <x:v>27</x:v>
      </x:c>
      <x:c r="M489"/>
      <x:c r="N489">
        <x:v>2</x:v>
      </x:c>
      <x:c r="O489">
        <x:v>6</x:v>
      </x:c>
      <x:c r="P489">
        <x:v>84</x:v>
      </x:c>
      <x:c r="Q489" t="s">
        <x:v>27</x:v>
      </x:c>
      <x:c r="R489" t="n">
        <x:f>IF(subscriptions[[#This Row],[churned]]="Yes",1,0)</x:f>
        <x:v>0</x:v>
      </x:c>
      <x:c r="S489" s="11" t="str">
        <x:f>IF(K489="Yes",(L489-J489)/30.4375,"")</x:f>
      </x:c>
      <x:c r="T489" t="str">
        <x:f>IF(AND(K489="No",P489&lt;40,O489&lt;=4),"High Risk","")</x:f>
      </x:c>
    </x:row>
    <x:row r="490">
      <x:c r="A490" t="s">
        <x:v>547</x:v>
      </x:c>
      <x:c r="B490" t="s">
        <x:v>19</x:v>
      </x:c>
      <x:c r="C490" t="s">
        <x:v>20</x:v>
      </x:c>
      <x:c r="D490" t="s">
        <x:v>83</x:v>
      </x:c>
      <x:c r="E490" t="s">
        <x:v>40</x:v>
      </x:c>
      <x:c r="F490">
        <x:v>24</x:v>
      </x:c>
      <x:c r="G490">
        <x:v>351.55</x:v>
      </x:c>
      <x:c r="H490" t="s">
        <x:v>47</x:v>
      </x:c>
      <x:c r="I490" t="s">
        <x:v>59</x:v>
      </x:c>
      <x:c r="J490" s="1">
        <x:v>45137</x:v>
      </x:c>
      <x:c r="K490" t="s">
        <x:v>25</x:v>
      </x:c>
      <x:c r="L490" s="1">
        <x:v>45779</x:v>
      </x:c>
      <x:c r="M490" t="s">
        <x:v>67</x:v>
      </x:c>
      <x:c r="N490">
        <x:v>15</x:v>
      </x:c>
      <x:c r="O490">
        <x:v>5</x:v>
      </x:c>
      <x:c r="P490">
        <x:v>26</x:v>
      </x:c>
      <x:c r="Q490" t="s">
        <x:v>27</x:v>
      </x:c>
      <x:c r="R490" t="n">
        <x:f>IF(subscriptions[[#This Row],[churned]]="Yes",1,0)</x:f>
        <x:v>1</x:v>
      </x:c>
      <x:c r="S490" s="11" t="n">
        <x:f>IF(K490="Yes",(L490-J490)/30.4375,"")</x:f>
        <x:v>21.09240246406571</x:v>
      </x:c>
      <x:c r="T490" t="str">
        <x:f>IF(AND(K490="No",P490&lt;40,O490&lt;=4),"High Risk","")</x:f>
      </x:c>
    </x:row>
    <x:row r="491">
      <x:c r="A491" t="s">
        <x:v>548</x:v>
      </x:c>
      <x:c r="B491" t="s">
        <x:v>75</x:v>
      </x:c>
      <x:c r="C491" t="s">
        <x:v>20</x:v>
      </x:c>
      <x:c r="D491" t="s">
        <x:v>53</x:v>
      </x:c>
      <x:c r="E491" t="s">
        <x:v>46</x:v>
      </x:c>
      <x:c r="F491">
        <x:v>6</x:v>
      </x:c>
      <x:c r="G491">
        <x:v>873.25</x:v>
      </x:c>
      <x:c r="H491" t="s">
        <x:v>47</x:v>
      </x:c>
      <x:c r="I491" t="s">
        <x:v>24</x:v>
      </x:c>
      <x:c r="J491" s="1">
        <x:v>44647</x:v>
      </x:c>
      <x:c r="K491" t="s">
        <x:v>25</x:v>
      </x:c>
      <x:c r="L491" s="1">
        <x:v>45710</x:v>
      </x:c>
      <x:c r="M491" t="s">
        <x:v>60</x:v>
      </x:c>
      <x:c r="N491">
        <x:v>11</x:v>
      </x:c>
      <x:c r="O491">
        <x:v>3</x:v>
      </x:c>
      <x:c r="P491">
        <x:v>19</x:v>
      </x:c>
      <x:c r="Q491" t="s">
        <x:v>27</x:v>
      </x:c>
      <x:c r="R491" t="n">
        <x:f>IF(subscriptions[[#This Row],[churned]]="Yes",1,0)</x:f>
        <x:v>1</x:v>
      </x:c>
      <x:c r="S491" s="11" t="n">
        <x:f>IF(K491="Yes",(L491-J491)/30.4375,"")</x:f>
        <x:v>34.92402464065709</x:v>
      </x:c>
      <x:c r="T491" t="str">
        <x:f>IF(AND(K491="No",P491&lt;40,O491&lt;=4),"High Risk","")</x:f>
      </x:c>
    </x:row>
    <x:row r="492">
      <x:c r="A492" t="s">
        <x:v>549</x:v>
      </x:c>
      <x:c r="B492" t="s">
        <x:v>33</x:v>
      </x:c>
      <x:c r="C492" t="s">
        <x:v>20</x:v>
      </x:c>
      <x:c r="D492" t="s">
        <x:v>43</x:v>
      </x:c>
      <x:c r="E492" t="s">
        <x:v>49</x:v>
      </x:c>
      <x:c r="F492">
        <x:v>121</x:v>
      </x:c>
      <x:c r="G492">
        <x:v>551</x:v>
      </x:c>
      <x:c r="H492" t="s">
        <x:v>102</x:v>
      </x:c>
      <x:c r="I492" t="s">
        <x:v>41</x:v>
      </x:c>
      <x:c r="J492" s="1">
        <x:v>45444</x:v>
      </x:c>
      <x:c r="K492" t="s">
        <x:v>25</x:v>
      </x:c>
      <x:c r="L492" s="1">
        <x:v>45753</x:v>
      </x:c>
      <x:c r="M492" t="s">
        <x:v>26</x:v>
      </x:c>
      <x:c r="N492">
        <x:v>2</x:v>
      </x:c>
      <x:c r="O492">
        <x:v>6</x:v>
      </x:c>
      <x:c r="P492">
        <x:v>23</x:v>
      </x:c>
      <x:c r="Q492" t="s">
        <x:v>27</x:v>
      </x:c>
      <x:c r="R492" t="n">
        <x:f>IF(subscriptions[[#This Row],[churned]]="Yes",1,0)</x:f>
        <x:v>1</x:v>
      </x:c>
      <x:c r="S492" s="11" t="n">
        <x:f>IF(K492="Yes",(L492-J492)/30.4375,"")</x:f>
        <x:v>10.151950718685832</x:v>
      </x:c>
      <x:c r="T492" t="str">
        <x:f>IF(AND(K492="No",P492&lt;40,O492&lt;=4),"High Risk","")</x:f>
      </x:c>
    </x:row>
    <x:row r="493">
      <x:c r="A493" t="s">
        <x:v>550</x:v>
      </x:c>
      <x:c r="B493" t="s">
        <x:v>19</x:v>
      </x:c>
      <x:c r="C493" t="s">
        <x:v>20</x:v>
      </x:c>
      <x:c r="D493" t="s">
        <x:v>34</x:v>
      </x:c>
      <x:c r="E493" t="s">
        <x:v>46</x:v>
      </x:c>
      <x:c r="F493">
        <x:v>4</x:v>
      </x:c>
      <x:c r="G493">
        <x:v>114.55</x:v>
      </x:c>
      <x:c r="H493" t="s">
        <x:v>47</x:v>
      </x:c>
      <x:c r="I493" t="s">
        <x:v>41</x:v>
      </x:c>
      <x:c r="J493" s="1">
        <x:v>44899</x:v>
      </x:c>
      <x:c r="K493" t="s">
        <x:v>25</x:v>
      </x:c>
      <x:c r="L493" s="1">
        <x:v>45747</x:v>
      </x:c>
      <x:c r="M493" t="s">
        <x:v>60</x:v>
      </x:c>
      <x:c r="N493">
        <x:v>15</x:v>
      </x:c>
      <x:c r="O493">
        <x:v>1</x:v>
      </x:c>
      <x:c r="P493">
        <x:v>27</x:v>
      </x:c>
      <x:c r="Q493" t="s">
        <x:v>27</x:v>
      </x:c>
      <x:c r="R493" t="n">
        <x:f>IF(subscriptions[[#This Row],[churned]]="Yes",1,0)</x:f>
        <x:v>1</x:v>
      </x:c>
      <x:c r="S493" s="11" t="n">
        <x:f>IF(K493="Yes",(L493-J493)/30.4375,"")</x:f>
        <x:v>27.860369609856264</x:v>
      </x:c>
      <x:c r="T493" t="str">
        <x:f>IF(AND(K493="No",P493&lt;40,O493&lt;=4),"High Risk","")</x:f>
      </x:c>
    </x:row>
    <x:row r="494">
      <x:c r="A494" t="s">
        <x:v>551</x:v>
      </x:c>
      <x:c r="B494" t="s">
        <x:v>33</x:v>
      </x:c>
      <x:c r="C494" t="s">
        <x:v>29</x:v>
      </x:c>
      <x:c r="D494" t="s">
        <x:v>34</x:v>
      </x:c>
      <x:c r="E494" t="s">
        <x:v>22</x:v>
      </x:c>
      <x:c r="F494">
        <x:v>73</x:v>
      </x:c>
      <x:c r="G494">
        <x:v>290.87</x:v>
      </x:c>
      <x:c r="H494" t="s">
        <x:v>23</x:v>
      </x:c>
      <x:c r="I494" t="s">
        <x:v>24</x:v>
      </x:c>
      <x:c r="J494" s="1">
        <x:v>45936</x:v>
      </x:c>
      <x:c r="K494" t="s">
        <x:v>27</x:v>
      </x:c>
      <x:c r="M494"/>
      <x:c r="N494">
        <x:v>3</x:v>
      </x:c>
      <x:c r="O494">
        <x:v>7</x:v>
      </x:c>
      <x:c r="P494">
        <x:v>57</x:v>
      </x:c>
      <x:c r="Q494" t="s">
        <x:v>27</x:v>
      </x:c>
      <x:c r="R494" t="n">
        <x:f>IF(subscriptions[[#This Row],[churned]]="Yes",1,0)</x:f>
        <x:v>0</x:v>
      </x:c>
      <x:c r="S494" s="11" t="str">
        <x:f>IF(K494="Yes",(L494-J494)/30.4375,"")</x:f>
      </x:c>
      <x:c r="T494" t="str">
        <x:f>IF(AND(K494="No",P494&lt;40,O494&lt;=4),"High Risk","")</x:f>
      </x:c>
    </x:row>
    <x:row r="495">
      <x:c r="A495" t="s">
        <x:v>552</x:v>
      </x:c>
      <x:c r="B495" t="s">
        <x:v>38</x:v>
      </x:c>
      <x:c r="C495" t="s">
        <x:v>20</x:v>
      </x:c>
      <x:c r="D495" t="s">
        <x:v>21</x:v>
      </x:c>
      <x:c r="E495" t="s">
        <x:v>35</x:v>
      </x:c>
      <x:c r="F495">
        <x:v>199</x:v>
      </x:c>
      <x:c r="G495">
        <x:v>6109.3</x:v>
      </x:c>
      <x:c r="H495" t="s">
        <x:v>36</x:v>
      </x:c>
      <x:c r="I495" t="s">
        <x:v>24</x:v>
      </x:c>
      <x:c r="J495" s="1">
        <x:v>44711</x:v>
      </x:c>
      <x:c r="K495" t="s">
        <x:v>25</x:v>
      </x:c>
      <x:c r="L495" s="1">
        <x:v>45919</x:v>
      </x:c>
      <x:c r="M495" t="s">
        <x:v>86</x:v>
      </x:c>
      <x:c r="N495">
        <x:v>13</x:v>
      </x:c>
      <x:c r="O495">
        <x:v>4</x:v>
      </x:c>
      <x:c r="P495">
        <x:v>26</x:v>
      </x:c>
      <x:c r="Q495" t="s">
        <x:v>27</x:v>
      </x:c>
      <x:c r="R495" t="n">
        <x:f>IF(subscriptions[[#This Row],[churned]]="Yes",1,0)</x:f>
        <x:v>1</x:v>
      </x:c>
      <x:c r="S495" s="11" t="n">
        <x:f>IF(K495="Yes",(L495-J495)/30.4375,"")</x:f>
        <x:v>39.68788501026694</x:v>
      </x:c>
      <x:c r="T495" t="str">
        <x:f>IF(AND(K495="No",P495&lt;40,O495&lt;=4),"High Risk","")</x:f>
      </x:c>
    </x:row>
    <x:row r="496">
      <x:c r="A496" t="s">
        <x:v>553</x:v>
      </x:c>
      <x:c r="B496" t="s">
        <x:v>38</x:v>
      </x:c>
      <x:c r="C496" t="s">
        <x:v>20</x:v>
      </x:c>
      <x:c r="D496" t="s">
        <x:v>56</x:v>
      </x:c>
      <x:c r="E496" t="s">
        <x:v>40</x:v>
      </x:c>
      <x:c r="F496">
        <x:v>21</x:v>
      </x:c>
      <x:c r="G496">
        <x:v>796</x:v>
      </x:c>
      <x:c r="H496" t="s">
        <x:v>64</x:v>
      </x:c>
      <x:c r="I496" t="s">
        <x:v>59</x:v>
      </x:c>
      <x:c r="J496" s="1">
        <x:v>44783</x:v>
      </x:c>
      <x:c r="K496" t="s">
        <x:v>25</x:v>
      </x:c>
      <x:c r="L496" s="1">
        <x:v>45269</x:v>
      </x:c>
      <x:c r="M496" t="s">
        <x:v>67</x:v>
      </x:c>
      <x:c r="N496">
        <x:v>4</x:v>
      </x:c>
      <x:c r="O496">
        <x:v>1</x:v>
      </x:c>
      <x:c r="P496">
        <x:v>13</x:v>
      </x:c>
      <x:c r="Q496" t="s">
        <x:v>27</x:v>
      </x:c>
      <x:c r="R496" t="n">
        <x:f>IF(subscriptions[[#This Row],[churned]]="Yes",1,0)</x:f>
        <x:v>1</x:v>
      </x:c>
      <x:c r="S496" s="11" t="n">
        <x:f>IF(K496="Yes",(L496-J496)/30.4375,"")</x:f>
        <x:v>15.967145790554415</x:v>
      </x:c>
      <x:c r="T496" t="str">
        <x:f>IF(AND(K496="No",P496&lt;40,O496&lt;=4),"High Risk","")</x:f>
      </x:c>
    </x:row>
    <x:row r="497">
      <x:c r="A497" t="s">
        <x:v>554</x:v>
      </x:c>
      <x:c r="B497" t="s">
        <x:v>33</x:v>
      </x:c>
      <x:c r="C497" t="s">
        <x:v>29</x:v>
      </x:c>
      <x:c r="D497" t="s">
        <x:v>34</x:v>
      </x:c>
      <x:c r="E497" t="s">
        <x:v>46</x:v>
      </x:c>
      <x:c r="F497">
        <x:v>4</x:v>
      </x:c>
      <x:c r="G497">
        <x:v>35.74</x:v>
      </x:c>
      <x:c r="H497" t="s">
        <x:v>47</x:v>
      </x:c>
      <x:c r="I497" t="s">
        <x:v>41</x:v>
      </x:c>
      <x:c r="J497" s="1">
        <x:v>45104</x:v>
      </x:c>
      <x:c r="K497" t="s">
        <x:v>25</x:v>
      </x:c>
      <x:c r="L497" s="1">
        <x:v>45180</x:v>
      </x:c>
      <x:c r="M497" t="s">
        <x:v>26</x:v>
      </x:c>
      <x:c r="N497">
        <x:v>1</x:v>
      </x:c>
      <x:c r="O497">
        <x:v>1</x:v>
      </x:c>
      <x:c r="P497">
        <x:v>39</x:v>
      </x:c>
      <x:c r="Q497" t="s">
        <x:v>27</x:v>
      </x:c>
      <x:c r="R497" t="n">
        <x:f>IF(subscriptions[[#This Row],[churned]]="Yes",1,0)</x:f>
        <x:v>1</x:v>
      </x:c>
      <x:c r="S497" s="11" t="n">
        <x:f>IF(K497="Yes",(L497-J497)/30.4375,"")</x:f>
        <x:v>2.4969199178644765</x:v>
      </x:c>
      <x:c r="T497" t="str">
        <x:f>IF(AND(K497="No",P497&lt;40,O497&lt;=4),"High Risk","")</x:f>
      </x:c>
    </x:row>
    <x:row r="498">
      <x:c r="A498" t="s">
        <x:v>555</x:v>
      </x:c>
      <x:c r="B498" t="s">
        <x:v>75</x:v>
      </x:c>
      <x:c r="C498" t="s">
        <x:v>20</x:v>
      </x:c>
      <x:c r="D498" t="s">
        <x:v>72</x:v>
      </x:c>
      <x:c r="E498" t="s">
        <x:v>46</x:v>
      </x:c>
      <x:c r="F498">
        <x:v>4</x:v>
      </x:c>
      <x:c r="G498">
        <x:v>723.55</x:v>
      </x:c>
      <x:c r="H498" t="s">
        <x:v>64</x:v>
      </x:c>
      <x:c r="I498" t="s">
        <x:v>24</x:v>
      </x:c>
      <x:c r="J498" s="1">
        <x:v>45325</x:v>
      </x:c>
      <x:c r="K498" t="s">
        <x:v>27</x:v>
      </x:c>
      <x:c r="M498"/>
      <x:c r="N498">
        <x:v>0</x:v>
      </x:c>
      <x:c r="O498">
        <x:v>6</x:v>
      </x:c>
      <x:c r="P498">
        <x:v>47</x:v>
      </x:c>
      <x:c r="Q498" t="s">
        <x:v>27</x:v>
      </x:c>
      <x:c r="R498" t="n">
        <x:f>IF(subscriptions[[#This Row],[churned]]="Yes",1,0)</x:f>
        <x:v>0</x:v>
      </x:c>
      <x:c r="S498" s="11" t="str">
        <x:f>IF(K498="Yes",(L498-J498)/30.4375,"")</x:f>
      </x:c>
      <x:c r="T498" t="str">
        <x:f>IF(AND(K498="No",P498&lt;40,O498&lt;=4),"High Risk","")</x:f>
      </x:c>
    </x:row>
    <x:row r="499">
      <x:c r="A499" t="s">
        <x:v>556</x:v>
      </x:c>
      <x:c r="B499" t="s">
        <x:v>38</x:v>
      </x:c>
      <x:c r="C499" t="s">
        <x:v>29</x:v>
      </x:c>
      <x:c r="D499" t="s">
        <x:v>66</x:v>
      </x:c>
      <x:c r="E499" t="s">
        <x:v>40</x:v>
      </x:c>
      <x:c r="F499">
        <x:v>5</x:v>
      </x:c>
      <x:c r="G499">
        <x:v>270.64</x:v>
      </x:c>
      <x:c r="H499" t="s">
        <x:v>102</x:v>
      </x:c>
      <x:c r="I499" t="s">
        <x:v>41</x:v>
      </x:c>
      <x:c r="J499" s="1">
        <x:v>46015</x:v>
      </x:c>
      <x:c r="K499" t="s">
        <x:v>27</x:v>
      </x:c>
      <x:c r="M499"/>
      <x:c r="N499">
        <x:v>3</x:v>
      </x:c>
      <x:c r="O499">
        <x:v>5</x:v>
      </x:c>
      <x:c r="P499">
        <x:v>48</x:v>
      </x:c>
      <x:c r="Q499" t="s">
        <x:v>27</x:v>
      </x:c>
      <x:c r="R499" t="n">
        <x:f>IF(subscriptions[[#This Row],[churned]]="Yes",1,0)</x:f>
        <x:v>0</x:v>
      </x:c>
      <x:c r="S499" s="11" t="str">
        <x:f>IF(K499="Yes",(L499-J499)/30.4375,"")</x:f>
      </x:c>
      <x:c r="T499" t="str">
        <x:f>IF(AND(K499="No",P499&lt;40,O499&lt;=4),"High Risk","")</x:f>
      </x:c>
    </x:row>
    <x:row r="500">
      <x:c r="A500" t="s">
        <x:v>557</x:v>
      </x:c>
      <x:c r="B500" t="s">
        <x:v>38</x:v>
      </x:c>
      <x:c r="C500" t="s">
        <x:v>20</x:v>
      </x:c>
      <x:c r="D500" t="s">
        <x:v>66</x:v>
      </x:c>
      <x:c r="E500" t="s">
        <x:v>40</x:v>
      </x:c>
      <x:c r="F500">
        <x:v>15</x:v>
      </x:c>
      <x:c r="G500">
        <x:v>616.9</x:v>
      </x:c>
      <x:c r="H500" t="s">
        <x:v>47</x:v>
      </x:c>
      <x:c r="I500" t="s">
        <x:v>24</x:v>
      </x:c>
      <x:c r="J500" s="1">
        <x:v>45722</x:v>
      </x:c>
      <x:c r="K500" t="s">
        <x:v>27</x:v>
      </x:c>
      <x:c r="M500"/>
      <x:c r="N500">
        <x:v>11</x:v>
      </x:c>
      <x:c r="O500">
        <x:v>10</x:v>
      </x:c>
      <x:c r="P500">
        <x:v>37</x:v>
      </x:c>
      <x:c r="Q500" t="s">
        <x:v>27</x:v>
      </x:c>
      <x:c r="R500" t="n">
        <x:f>IF(subscriptions[[#This Row],[churned]]="Yes",1,0)</x:f>
        <x:v>0</x:v>
      </x:c>
      <x:c r="S500" s="11" t="str">
        <x:f>IF(K500="Yes",(L500-J500)/30.4375,"")</x:f>
      </x:c>
      <x:c r="T500" t="str">
        <x:f>IF(AND(K500="No",P500&lt;40,O500&lt;=4),"High Risk","")</x:f>
      </x:c>
    </x:row>
    <x:row r="501">
      <x:c r="A501" t="s">
        <x:v>558</x:v>
      </x:c>
      <x:c r="B501" t="s">
        <x:v>19</x:v>
      </x:c>
      <x:c r="C501" t="s">
        <x:v>20</x:v>
      </x:c>
      <x:c r="D501" t="s">
        <x:v>53</x:v>
      </x:c>
      <x:c r="E501" t="s">
        <x:v>22</x:v>
      </x:c>
      <x:c r="F501">
        <x:v>71</x:v>
      </x:c>
      <x:c r="G501">
        <x:v>908.5</x:v>
      </x:c>
      <x:c r="H501" t="s">
        <x:v>47</x:v>
      </x:c>
      <x:c r="I501" t="s">
        <x:v>24</x:v>
      </x:c>
      <x:c r="J501" s="1">
        <x:v>45989</x:v>
      </x:c>
      <x:c r="K501" t="s">
        <x:v>27</x:v>
      </x:c>
      <x:c r="M501"/>
      <x:c r="N501">
        <x:v>4</x:v>
      </x:c>
      <x:c r="O501">
        <x:v>5</x:v>
      </x:c>
      <x:c r="P501">
        <x:v>70</x:v>
      </x:c>
      <x:c r="Q501" t="s">
        <x:v>27</x:v>
      </x:c>
      <x:c r="R501" t="n">
        <x:f>IF(subscriptions[[#This Row],[churned]]="Yes",1,0)</x:f>
        <x:v>0</x:v>
      </x:c>
      <x:c r="S501" s="11" t="str">
        <x:f>IF(K501="Yes",(L501-J501)/30.4375,"")</x:f>
      </x:c>
      <x:c r="T501" t="str">
        <x:f>IF(AND(K501="No",P501&lt;40,O501&lt;=4),"High Risk","")</x:f>
      </x:c>
    </x:row>
    <x:row r="502">
      <x:c r="A502" t="s">
        <x:v>559</x:v>
      </x:c>
      <x:c r="B502" t="s">
        <x:v>33</x:v>
      </x:c>
      <x:c r="C502" t="s">
        <x:v>29</x:v>
      </x:c>
      <x:c r="D502" t="s">
        <x:v>66</x:v>
      </x:c>
      <x:c r="E502" t="s">
        <x:v>35</x:v>
      </x:c>
      <x:c r="F502">
        <x:v>144</x:v>
      </x:c>
      <x:c r="G502">
        <x:v>553.39</x:v>
      </x:c>
      <x:c r="H502" t="s">
        <x:v>36</x:v>
      </x:c>
      <x:c r="I502" t="s">
        <x:v>24</x:v>
      </x:c>
      <x:c r="J502" s="1">
        <x:v>45137</x:v>
      </x:c>
      <x:c r="K502" t="s">
        <x:v>25</x:v>
      </x:c>
      <x:c r="L502" s="1">
        <x:v>45319</x:v>
      </x:c>
      <x:c r="M502" t="s">
        <x:v>60</x:v>
      </x:c>
      <x:c r="N502">
        <x:v>6</x:v>
      </x:c>
      <x:c r="O502">
        <x:v>3</x:v>
      </x:c>
      <x:c r="P502">
        <x:v>45</x:v>
      </x:c>
      <x:c r="Q502" t="s">
        <x:v>27</x:v>
      </x:c>
      <x:c r="R502" t="n">
        <x:f>IF(subscriptions[[#This Row],[churned]]="Yes",1,0)</x:f>
        <x:v>1</x:v>
      </x:c>
      <x:c r="S502" s="11" t="n">
        <x:f>IF(K502="Yes",(L502-J502)/30.4375,"")</x:f>
        <x:v>5.979466119096509</x:v>
      </x:c>
      <x:c r="T502" t="str">
        <x:f>IF(AND(K502="No",P502&lt;40,O502&lt;=4),"High Risk","")</x:f>
      </x:c>
    </x:row>
    <x:row r="503">
      <x:c r="A503" t="s">
        <x:v>560</x:v>
      </x:c>
      <x:c r="B503" t="s">
        <x:v>19</x:v>
      </x:c>
      <x:c r="C503" t="s">
        <x:v>29</x:v>
      </x:c>
      <x:c r="D503" t="s">
        <x:v>21</x:v>
      </x:c>
      <x:c r="E503" t="s">
        <x:v>40</x:v>
      </x:c>
      <x:c r="F503">
        <x:v>32</x:v>
      </x:c>
      <x:c r="G503">
        <x:v>379.4</x:v>
      </x:c>
      <x:c r="H503" t="s">
        <x:v>47</x:v>
      </x:c>
      <x:c r="I503" t="s">
        <x:v>41</x:v>
      </x:c>
      <x:c r="J503" s="1">
        <x:v>45593</x:v>
      </x:c>
      <x:c r="K503" t="s">
        <x:v>27</x:v>
      </x:c>
      <x:c r="M503"/>
      <x:c r="N503">
        <x:v>5</x:v>
      </x:c>
      <x:c r="O503">
        <x:v>9</x:v>
      </x:c>
      <x:c r="P503">
        <x:v>36</x:v>
      </x:c>
      <x:c r="Q503" t="s">
        <x:v>27</x:v>
      </x:c>
      <x:c r="R503" t="n">
        <x:f>IF(subscriptions[[#This Row],[churned]]="Yes",1,0)</x:f>
        <x:v>0</x:v>
      </x:c>
      <x:c r="S503" s="11" t="str">
        <x:f>IF(K503="Yes",(L503-J503)/30.4375,"")</x:f>
      </x:c>
      <x:c r="T503" t="str">
        <x:f>IF(AND(K503="No",P503&lt;40,O503&lt;=4),"High Risk","")</x:f>
      </x:c>
    </x:row>
    <x:row r="504">
      <x:c r="A504" t="s">
        <x:v>561</x:v>
      </x:c>
      <x:c r="B504" t="s">
        <x:v>75</x:v>
      </x:c>
      <x:c r="C504" t="s">
        <x:v>29</x:v>
      </x:c>
      <x:c r="D504" t="s">
        <x:v>39</x:v>
      </x:c>
      <x:c r="E504" t="s">
        <x:v>40</x:v>
      </x:c>
      <x:c r="F504">
        <x:v>23</x:v>
      </x:c>
      <x:c r="G504">
        <x:v>1823.84</x:v>
      </x:c>
      <x:c r="H504" t="s">
        <x:v>23</x:v>
      </x:c>
      <x:c r="I504" t="s">
        <x:v>73</x:v>
      </x:c>
      <x:c r="J504" s="1">
        <x:v>45677</x:v>
      </x:c>
      <x:c r="K504" t="s">
        <x:v>27</x:v>
      </x:c>
      <x:c r="M504"/>
      <x:c r="N504">
        <x:v>10</x:v>
      </x:c>
      <x:c r="O504">
        <x:v>7</x:v>
      </x:c>
      <x:c r="P504">
        <x:v>16</x:v>
      </x:c>
      <x:c r="Q504" t="s">
        <x:v>27</x:v>
      </x:c>
      <x:c r="R504" t="n">
        <x:f>IF(subscriptions[[#This Row],[churned]]="Yes",1,0)</x:f>
        <x:v>0</x:v>
      </x:c>
      <x:c r="S504" s="11" t="str">
        <x:f>IF(K504="Yes",(L504-J504)/30.4375,"")</x:f>
      </x:c>
      <x:c r="T504" t="str">
        <x:f>IF(AND(K504="No",P504&lt;40,O504&lt;=4),"High Risk","")</x:f>
      </x:c>
    </x:row>
    <x:row r="505">
      <x:c r="A505" t="s">
        <x:v>562</x:v>
      </x:c>
      <x:c r="B505" t="s">
        <x:v>33</x:v>
      </x:c>
      <x:c r="C505" t="s">
        <x:v>20</x:v>
      </x:c>
      <x:c r="D505" t="s">
        <x:v>21</x:v>
      </x:c>
      <x:c r="E505" t="s">
        <x:v>40</x:v>
      </x:c>
      <x:c r="F505">
        <x:v>15</x:v>
      </x:c>
      <x:c r="G505">
        <x:v>89.9</x:v>
      </x:c>
      <x:c r="H505" t="s">
        <x:v>23</x:v>
      </x:c>
      <x:c r="I505" t="s">
        <x:v>41</x:v>
      </x:c>
      <x:c r="J505" s="1">
        <x:v>45759</x:v>
      </x:c>
      <x:c r="K505" t="s">
        <x:v>25</x:v>
      </x:c>
      <x:c r="L505" s="1">
        <x:v>45785</x:v>
      </x:c>
      <x:c r="M505" t="s">
        <x:v>57</x:v>
      </x:c>
      <x:c r="N505">
        <x:v>14</x:v>
      </x:c>
      <x:c r="O505">
        <x:v>3</x:v>
      </x:c>
      <x:c r="P505">
        <x:v>26</x:v>
      </x:c>
      <x:c r="Q505" t="s">
        <x:v>27</x:v>
      </x:c>
      <x:c r="R505" t="n">
        <x:f>IF(subscriptions[[#This Row],[churned]]="Yes",1,0)</x:f>
        <x:v>1</x:v>
      </x:c>
      <x:c r="S505" s="11" t="n">
        <x:f>IF(K505="Yes",(L505-J505)/30.4375,"")</x:f>
        <x:v>0.8542094455852156</x:v>
      </x:c>
      <x:c r="T505" t="str">
        <x:f>IF(AND(K505="No",P505&lt;40,O505&lt;=4),"High Risk","")</x:f>
      </x:c>
    </x:row>
    <x:row r="506">
      <x:c r="A506" t="s">
        <x:v>563</x:v>
      </x:c>
      <x:c r="B506" t="s">
        <x:v>38</x:v>
      </x:c>
      <x:c r="C506" t="s">
        <x:v>20</x:v>
      </x:c>
      <x:c r="D506" t="s">
        <x:v>45</x:v>
      </x:c>
      <x:c r="E506" t="s">
        <x:v>22</x:v>
      </x:c>
      <x:c r="F506">
        <x:v>49</x:v>
      </x:c>
      <x:c r="G506">
        <x:v>1631.8</x:v>
      </x:c>
      <x:c r="H506" t="s">
        <x:v>47</x:v>
      </x:c>
      <x:c r="I506" t="s">
        <x:v>24</x:v>
      </x:c>
      <x:c r="J506" s="1">
        <x:v>44693</x:v>
      </x:c>
      <x:c r="K506" t="s">
        <x:v>25</x:v>
      </x:c>
      <x:c r="L506" s="1">
        <x:v>45142</x:v>
      </x:c>
      <x:c r="M506" t="s">
        <x:v>57</x:v>
      </x:c>
      <x:c r="N506">
        <x:v>10</x:v>
      </x:c>
      <x:c r="O506">
        <x:v>6</x:v>
      </x:c>
      <x:c r="P506">
        <x:v>16</x:v>
      </x:c>
      <x:c r="Q506" t="s">
        <x:v>27</x:v>
      </x:c>
      <x:c r="R506" t="n">
        <x:f>IF(subscriptions[[#This Row],[churned]]="Yes",1,0)</x:f>
        <x:v>1</x:v>
      </x:c>
      <x:c r="S506" s="11" t="n">
        <x:f>IF(K506="Yes",(L506-J506)/30.4375,"")</x:f>
        <x:v>14.751540041067761</x:v>
      </x:c>
      <x:c r="T506" t="str">
        <x:f>IF(AND(K506="No",P506&lt;40,O506&lt;=4),"High Risk","")</x:f>
      </x:c>
    </x:row>
    <x:row r="507">
      <x:c r="A507" t="s">
        <x:v>564</x:v>
      </x:c>
      <x:c r="B507" t="s">
        <x:v>33</x:v>
      </x:c>
      <x:c r="C507" t="s">
        <x:v>20</x:v>
      </x:c>
      <x:c r="D507" t="s">
        <x:v>45</x:v>
      </x:c>
      <x:c r="E507" t="s">
        <x:v>40</x:v>
      </x:c>
      <x:c r="F507">
        <x:v>26</x:v>
      </x:c>
      <x:c r="G507">
        <x:v>137.75</x:v>
      </x:c>
      <x:c r="H507" t="s">
        <x:v>23</x:v>
      </x:c>
      <x:c r="I507" t="s">
        <x:v>73</x:v>
      </x:c>
      <x:c r="J507" s="1">
        <x:v>45604</x:v>
      </x:c>
      <x:c r="K507" t="s">
        <x:v>25</x:v>
      </x:c>
      <x:c r="L507" s="1">
        <x:v>45894</x:v>
      </x:c>
      <x:c r="M507" t="s">
        <x:v>67</x:v>
      </x:c>
      <x:c r="N507">
        <x:v>12</x:v>
      </x:c>
      <x:c r="O507">
        <x:v>2</x:v>
      </x:c>
      <x:c r="P507">
        <x:v>26</x:v>
      </x:c>
      <x:c r="Q507" t="s">
        <x:v>27</x:v>
      </x:c>
      <x:c r="R507" t="n">
        <x:f>IF(subscriptions[[#This Row],[churned]]="Yes",1,0)</x:f>
        <x:v>1</x:v>
      </x:c>
      <x:c r="S507" s="11" t="n">
        <x:f>IF(K507="Yes",(L507-J507)/30.4375,"")</x:f>
        <x:v>9.527720739219713</x:v>
      </x:c>
      <x:c r="T507" t="str">
        <x:f>IF(AND(K507="No",P507&lt;40,O507&lt;=4),"High Risk","")</x:f>
      </x:c>
    </x:row>
    <x:row r="508">
      <x:c r="A508" t="s">
        <x:v>565</x:v>
      </x:c>
      <x:c r="B508" t="s">
        <x:v>38</x:v>
      </x:c>
      <x:c r="C508" t="s">
        <x:v>29</x:v>
      </x:c>
      <x:c r="D508" t="s">
        <x:v>43</x:v>
      </x:c>
      <x:c r="E508" t="s">
        <x:v>40</x:v>
      </x:c>
      <x:c r="F508">
        <x:v>35</x:v>
      </x:c>
      <x:c r="G508">
        <x:v>1031.82</x:v>
      </x:c>
      <x:c r="H508" t="s">
        <x:v>36</x:v>
      </x:c>
      <x:c r="I508" t="s">
        <x:v>24</x:v>
      </x:c>
      <x:c r="J508" s="1">
        <x:v>45768</x:v>
      </x:c>
      <x:c r="K508" t="s">
        <x:v>27</x:v>
      </x:c>
      <x:c r="M508"/>
      <x:c r="N508">
        <x:v>2</x:v>
      </x:c>
      <x:c r="O508">
        <x:v>6</x:v>
      </x:c>
      <x:c r="P508">
        <x:v>70</x:v>
      </x:c>
      <x:c r="Q508" t="s">
        <x:v>25</x:v>
      </x:c>
      <x:c r="R508" t="n">
        <x:f>IF(subscriptions[[#This Row],[churned]]="Yes",1,0)</x:f>
        <x:v>0</x:v>
      </x:c>
      <x:c r="S508" s="11" t="str">
        <x:f>IF(K508="Yes",(L508-J508)/30.4375,"")</x:f>
      </x:c>
      <x:c r="T508" t="str">
        <x:f>IF(AND(K508="No",P508&lt;40,O508&lt;=4),"High Risk","")</x:f>
      </x:c>
    </x:row>
    <x:row r="509">
      <x:c r="A509" t="s">
        <x:v>566</x:v>
      </x:c>
      <x:c r="B509" t="s">
        <x:v>33</x:v>
      </x:c>
      <x:c r="C509" t="s">
        <x:v>29</x:v>
      </x:c>
      <x:c r="D509" t="s">
        <x:v>34</x:v>
      </x:c>
      <x:c r="E509" t="s">
        <x:v>22</x:v>
      </x:c>
      <x:c r="F509">
        <x:v>54</x:v>
      </x:c>
      <x:c r="G509">
        <x:v>220.62</x:v>
      </x:c>
      <x:c r="H509" t="s">
        <x:v>47</x:v>
      </x:c>
      <x:c r="I509" t="s">
        <x:v>59</x:v>
      </x:c>
      <x:c r="J509" s="1">
        <x:v>44630</x:v>
      </x:c>
      <x:c r="K509" t="s">
        <x:v>25</x:v>
      </x:c>
      <x:c r="L509" s="1">
        <x:v>44874</x:v>
      </x:c>
      <x:c r="M509" t="s">
        <x:v>60</x:v>
      </x:c>
      <x:c r="N509">
        <x:v>3</x:v>
      </x:c>
      <x:c r="O509">
        <x:v>2</x:v>
      </x:c>
      <x:c r="P509">
        <x:v>33</x:v>
      </x:c>
      <x:c r="Q509" t="s">
        <x:v>27</x:v>
      </x:c>
      <x:c r="R509" t="n">
        <x:f>IF(subscriptions[[#This Row],[churned]]="Yes",1,0)</x:f>
        <x:v>1</x:v>
      </x:c>
      <x:c r="S509" s="11" t="n">
        <x:f>IF(K509="Yes",(L509-J509)/30.4375,"")</x:f>
        <x:v>8.016427104722792</x:v>
      </x:c>
      <x:c r="T509" t="str">
        <x:f>IF(AND(K509="No",P509&lt;40,O509&lt;=4),"High Risk","")</x:f>
      </x:c>
    </x:row>
    <x:row r="510">
      <x:c r="A510" t="s">
        <x:v>567</x:v>
      </x:c>
      <x:c r="B510" t="s">
        <x:v>33</x:v>
      </x:c>
      <x:c r="C510" t="s">
        <x:v>20</x:v>
      </x:c>
      <x:c r="D510" t="s">
        <x:v>66</x:v>
      </x:c>
      <x:c r="E510" t="s">
        <x:v>35</x:v>
      </x:c>
      <x:c r="F510">
        <x:v>56</x:v>
      </x:c>
      <x:c r="G510">
        <x:v>268.25</x:v>
      </x:c>
      <x:c r="H510" t="s">
        <x:v>47</x:v>
      </x:c>
      <x:c r="I510" t="s">
        <x:v>73</x:v>
      </x:c>
      <x:c r="J510" s="1">
        <x:v>45058</x:v>
      </x:c>
      <x:c r="K510" t="s">
        <x:v>25</x:v>
      </x:c>
      <x:c r="L510" s="1">
        <x:v>45111</x:v>
      </x:c>
      <x:c r="M510" t="s">
        <x:v>54</x:v>
      </x:c>
      <x:c r="N510">
        <x:v>12</x:v>
      </x:c>
      <x:c r="O510">
        <x:v>2</x:v>
      </x:c>
      <x:c r="P510">
        <x:v>17</x:v>
      </x:c>
      <x:c r="Q510" t="s">
        <x:v>27</x:v>
      </x:c>
      <x:c r="R510" t="n">
        <x:f>IF(subscriptions[[#This Row],[churned]]="Yes",1,0)</x:f>
        <x:v>1</x:v>
      </x:c>
      <x:c r="S510" s="11" t="n">
        <x:f>IF(K510="Yes",(L510-J510)/30.4375,"")</x:f>
        <x:v>1.7412731006160165</x:v>
      </x:c>
      <x:c r="T510" t="str">
        <x:f>IF(AND(K510="No",P510&lt;40,O510&lt;=4),"High Risk","")</x:f>
      </x:c>
    </x:row>
    <x:row r="511">
      <x:c r="A511" t="s">
        <x:v>568</x:v>
      </x:c>
      <x:c r="B511" t="s">
        <x:v>38</x:v>
      </x:c>
      <x:c r="C511" t="s">
        <x:v>20</x:v>
      </x:c>
      <x:c r="D511" t="s">
        <x:v>66</x:v>
      </x:c>
      <x:c r="E511" t="s">
        <x:v>40</x:v>
      </x:c>
      <x:c r="F511">
        <x:v>27</x:v>
      </x:c>
      <x:c r="G511">
        <x:v>975.1</x:v>
      </x:c>
      <x:c r="H511" t="s">
        <x:v>47</x:v>
      </x:c>
      <x:c r="I511" t="s">
        <x:v>59</x:v>
      </x:c>
      <x:c r="J511" s="1">
        <x:v>45530</x:v>
      </x:c>
      <x:c r="K511" t="s">
        <x:v>25</x:v>
      </x:c>
      <x:c r="L511" s="1">
        <x:v>45754</x:v>
      </x:c>
      <x:c r="M511" t="s">
        <x:v>54</x:v>
      </x:c>
      <x:c r="N511">
        <x:v>9</x:v>
      </x:c>
      <x:c r="O511">
        <x:v>2</x:v>
      </x:c>
      <x:c r="P511">
        <x:v>24</x:v>
      </x:c>
      <x:c r="Q511" t="s">
        <x:v>27</x:v>
      </x:c>
      <x:c r="R511" t="n">
        <x:f>IF(subscriptions[[#This Row],[churned]]="Yes",1,0)</x:f>
        <x:v>1</x:v>
      </x:c>
      <x:c r="S511" s="11" t="n">
        <x:f>IF(K511="Yes",(L511-J511)/30.4375,"")</x:f>
        <x:v>7.359342915811088</x:v>
      </x:c>
      <x:c r="T511" t="str">
        <x:f>IF(AND(K511="No",P511&lt;40,O511&lt;=4),"High Risk","")</x:f>
      </x:c>
    </x:row>
    <x:row r="512">
      <x:c r="A512" t="s">
        <x:v>569</x:v>
      </x:c>
      <x:c r="B512" t="s">
        <x:v>19</x:v>
      </x:c>
      <x:c r="C512" t="s">
        <x:v>20</x:v>
      </x:c>
      <x:c r="D512" t="s">
        <x:v>66</x:v>
      </x:c>
      <x:c r="E512" t="s">
        <x:v>40</x:v>
      </x:c>
      <x:c r="F512">
        <x:v>25</x:v>
      </x:c>
      <x:c r="G512">
        <x:v>363.4</x:v>
      </x:c>
      <x:c r="H512" t="s">
        <x:v>64</x:v>
      </x:c>
      <x:c r="I512" t="s">
        <x:v>24</x:v>
      </x:c>
      <x:c r="J512" s="1">
        <x:v>45923</x:v>
      </x:c>
      <x:c r="K512" t="s">
        <x:v>27</x:v>
      </x:c>
      <x:c r="M512"/>
      <x:c r="N512">
        <x:v>6</x:v>
      </x:c>
      <x:c r="O512">
        <x:v>4</x:v>
      </x:c>
      <x:c r="P512">
        <x:v>30</x:v>
      </x:c>
      <x:c r="Q512" t="s">
        <x:v>27</x:v>
      </x:c>
      <x:c r="R512" t="n">
        <x:f>IF(subscriptions[[#This Row],[churned]]="Yes",1,0)</x:f>
        <x:v>0</x:v>
      </x:c>
      <x:c r="S512" s="11" t="str">
        <x:f>IF(K512="Yes",(L512-J512)/30.4375,"")</x:f>
      </x:c>
      <x:c r="T512" t="str">
        <x:f>IF(AND(K512="No",P512&lt;40,O512&lt;=4),"High Risk","")</x:f>
        <x:v>High Risk</x:v>
      </x:c>
    </x:row>
    <x:row r="513">
      <x:c r="A513" t="s">
        <x:v>570</x:v>
      </x:c>
      <x:c r="B513" t="s">
        <x:v>33</x:v>
      </x:c>
      <x:c r="C513" t="s">
        <x:v>29</x:v>
      </x:c>
      <x:c r="D513" t="s">
        <x:v>83</x:v>
      </x:c>
      <x:c r="E513" t="s">
        <x:v>22</x:v>
      </x:c>
      <x:c r="F513">
        <x:v>26</x:v>
      </x:c>
      <x:c r="G513">
        <x:v>117.09</x:v>
      </x:c>
      <x:c r="H513" t="s">
        <x:v>47</x:v>
      </x:c>
      <x:c r="I513" t="s">
        <x:v>41</x:v>
      </x:c>
      <x:c r="J513" s="1">
        <x:v>44943</x:v>
      </x:c>
      <x:c r="K513" t="s">
        <x:v>25</x:v>
      </x:c>
      <x:c r="L513" s="1">
        <x:v>45085</x:v>
      </x:c>
      <x:c r="M513" t="s">
        <x:v>57</x:v>
      </x:c>
      <x:c r="N513">
        <x:v>15</x:v>
      </x:c>
      <x:c r="O513">
        <x:v>2</x:v>
      </x:c>
      <x:c r="P513">
        <x:v>36</x:v>
      </x:c>
      <x:c r="Q513" t="s">
        <x:v>27</x:v>
      </x:c>
      <x:c r="R513" t="n">
        <x:f>IF(subscriptions[[#This Row],[churned]]="Yes",1,0)</x:f>
        <x:v>1</x:v>
      </x:c>
      <x:c r="S513" s="11" t="n">
        <x:f>IF(K513="Yes",(L513-J513)/30.4375,"")</x:f>
        <x:v>4.6652977412731005</x:v>
      </x:c>
      <x:c r="T513" t="str">
        <x:f>IF(AND(K513="No",P513&lt;40,O513&lt;=4),"High Risk","")</x:f>
      </x:c>
    </x:row>
    <x:row r="514">
      <x:c r="A514" t="s">
        <x:v>571</x:v>
      </x:c>
      <x:c r="B514" t="s">
        <x:v>19</x:v>
      </x:c>
      <x:c r="C514" t="s">
        <x:v>29</x:v>
      </x:c>
      <x:c r="D514" t="s">
        <x:v>66</x:v>
      </x:c>
      <x:c r="E514" t="s">
        <x:v>46</x:v>
      </x:c>
      <x:c r="F514">
        <x:v>8</x:v>
      </x:c>
      <x:c r="G514">
        <x:v>137.66</x:v>
      </x:c>
      <x:c r="H514" t="s">
        <x:v>47</x:v>
      </x:c>
      <x:c r="I514" t="s">
        <x:v>24</x:v>
      </x:c>
      <x:c r="J514" s="1">
        <x:v>45311</x:v>
      </x:c>
      <x:c r="K514" t="s">
        <x:v>25</x:v>
      </x:c>
      <x:c r="L514" s="1">
        <x:v>45323</x:v>
      </x:c>
      <x:c r="M514" t="s">
        <x:v>60</x:v>
      </x:c>
      <x:c r="N514">
        <x:v>6</x:v>
      </x:c>
      <x:c r="O514">
        <x:v>5</x:v>
      </x:c>
      <x:c r="P514">
        <x:v>13</x:v>
      </x:c>
      <x:c r="Q514" t="s">
        <x:v>27</x:v>
      </x:c>
      <x:c r="R514" t="n">
        <x:f>IF(subscriptions[[#This Row],[churned]]="Yes",1,0)</x:f>
        <x:v>1</x:v>
      </x:c>
      <x:c r="S514" s="11" t="n">
        <x:f>IF(K514="Yes",(L514-J514)/30.4375,"")</x:f>
        <x:v>0.3942505133470226</x:v>
      </x:c>
      <x:c r="T514" t="str">
        <x:f>IF(AND(K514="No",P514&lt;40,O514&lt;=4),"High Risk","")</x:f>
      </x:c>
    </x:row>
    <x:row r="515">
      <x:c r="A515" t="s">
        <x:v>572</x:v>
      </x:c>
      <x:c r="B515" t="s">
        <x:v>38</x:v>
      </x:c>
      <x:c r="C515" t="s">
        <x:v>20</x:v>
      </x:c>
      <x:c r="D515" t="s">
        <x:v>34</x:v>
      </x:c>
      <x:c r="E515" t="s">
        <x:v>49</x:v>
      </x:c>
      <x:c r="F515">
        <x:v>68</x:v>
      </x:c>
      <x:c r="G515">
        <x:v>2198.9499999999998</x:v>
      </x:c>
      <x:c r="H515" t="s">
        <x:v>64</x:v>
      </x:c>
      <x:c r="I515" t="s">
        <x:v>73</x:v>
      </x:c>
      <x:c r="J515" s="1">
        <x:v>45318</x:v>
      </x:c>
      <x:c r="K515" t="s">
        <x:v>25</x:v>
      </x:c>
      <x:c r="L515" s="1">
        <x:v>45462</x:v>
      </x:c>
      <x:c r="M515" t="s">
        <x:v>57</x:v>
      </x:c>
      <x:c r="N515">
        <x:v>15</x:v>
      </x:c>
      <x:c r="O515">
        <x:v>1</x:v>
      </x:c>
      <x:c r="P515">
        <x:v>19</x:v>
      </x:c>
      <x:c r="Q515" t="s">
        <x:v>27</x:v>
      </x:c>
      <x:c r="R515" t="n">
        <x:f>IF(subscriptions[[#This Row],[churned]]="Yes",1,0)</x:f>
        <x:v>1</x:v>
      </x:c>
      <x:c r="S515" s="11" t="n">
        <x:f>IF(K515="Yes",(L515-J515)/30.4375,"")</x:f>
        <x:v>4.731006160164271</x:v>
      </x:c>
      <x:c r="T515" t="str">
        <x:f>IF(AND(K515="No",P515&lt;40,O515&lt;=4),"High Risk","")</x:f>
      </x:c>
    </x:row>
    <x:row r="516">
      <x:c r="A516" t="s">
        <x:v>573</x:v>
      </x:c>
      <x:c r="B516" t="s">
        <x:v>75</x:v>
      </x:c>
      <x:c r="C516" t="s">
        <x:v>20</x:v>
      </x:c>
      <x:c r="D516" t="s">
        <x:v>34</x:v>
      </x:c>
      <x:c r="E516" t="s">
        <x:v>46</x:v>
      </x:c>
      <x:c r="F516">
        <x:v>2</x:v>
      </x:c>
      <x:c r="G516">
        <x:v>573.85</x:v>
      </x:c>
      <x:c r="H516" t="s">
        <x:v>23</x:v>
      </x:c>
      <x:c r="I516" t="s">
        <x:v>24</x:v>
      </x:c>
      <x:c r="J516" s="1">
        <x:v>44652</x:v>
      </x:c>
      <x:c r="K516" t="s">
        <x:v>27</x:v>
      </x:c>
      <x:c r="M516"/>
      <x:c r="N516">
        <x:v>7</x:v>
      </x:c>
      <x:c r="O516">
        <x:v>8</x:v>
      </x:c>
      <x:c r="P516">
        <x:v>28</x:v>
      </x:c>
      <x:c r="Q516" t="s">
        <x:v>27</x:v>
      </x:c>
      <x:c r="R516" t="n">
        <x:f>IF(subscriptions[[#This Row],[churned]]="Yes",1,0)</x:f>
        <x:v>0</x:v>
      </x:c>
      <x:c r="S516" s="11" t="str">
        <x:f>IF(K516="Yes",(L516-J516)/30.4375,"")</x:f>
      </x:c>
      <x:c r="T516" t="str">
        <x:f>IF(AND(K516="No",P516&lt;40,O516&lt;=4),"High Risk","")</x:f>
      </x:c>
    </x:row>
    <x:row r="517">
      <x:c r="A517" t="s">
        <x:v>574</x:v>
      </x:c>
      <x:c r="B517" t="s">
        <x:v>38</x:v>
      </x:c>
      <x:c r="C517" t="s">
        <x:v>20</x:v>
      </x:c>
      <x:c r="D517" t="s">
        <x:v>66</x:v>
      </x:c>
      <x:c r="E517" t="s">
        <x:v>22</x:v>
      </x:c>
      <x:c r="F517">
        <x:v>42</x:v>
      </x:c>
      <x:c r="G517">
        <x:v>1422.85</x:v>
      </x:c>
      <x:c r="H517" t="s">
        <x:v>36</x:v>
      </x:c>
      <x:c r="I517" t="s">
        <x:v>41</x:v>
      </x:c>
      <x:c r="J517" s="1">
        <x:v>45612</x:v>
      </x:c>
      <x:c r="K517" t="s">
        <x:v>27</x:v>
      </x:c>
      <x:c r="M517"/>
      <x:c r="N517">
        <x:v>10</x:v>
      </x:c>
      <x:c r="O517">
        <x:v>2</x:v>
      </x:c>
      <x:c r="P517">
        <x:v>17</x:v>
      </x:c>
      <x:c r="Q517" t="s">
        <x:v>27</x:v>
      </x:c>
      <x:c r="R517" t="n">
        <x:f>IF(subscriptions[[#This Row],[churned]]="Yes",1,0)</x:f>
        <x:v>0</x:v>
      </x:c>
      <x:c r="S517" s="11" t="str">
        <x:f>IF(K517="Yes",(L517-J517)/30.4375,"")</x:f>
      </x:c>
      <x:c r="T517" t="str">
        <x:f>IF(AND(K517="No",P517&lt;40,O517&lt;=4),"High Risk","")</x:f>
        <x:v>High Risk</x:v>
      </x:c>
    </x:row>
    <x:row r="518">
      <x:c r="A518" t="s">
        <x:v>575</x:v>
      </x:c>
      <x:c r="B518" t="s">
        <x:v>19</x:v>
      </x:c>
      <x:c r="C518" t="s">
        <x:v>20</x:v>
      </x:c>
      <x:c r="D518" t="s">
        <x:v>56</x:v>
      </x:c>
      <x:c r="E518" t="s">
        <x:v>22</x:v>
      </x:c>
      <x:c r="F518">
        <x:v>59</x:v>
      </x:c>
      <x:c r="G518">
        <x:v>766.3</x:v>
      </x:c>
      <x:c r="H518" t="s">
        <x:v>102</x:v>
      </x:c>
      <x:c r="I518" t="s">
        <x:v>41</x:v>
      </x:c>
      <x:c r="J518" s="1">
        <x:v>45412</x:v>
      </x:c>
      <x:c r="K518" t="s">
        <x:v>25</x:v>
      </x:c>
      <x:c r="L518" s="1">
        <x:v>45579</x:v>
      </x:c>
      <x:c r="M518" t="s">
        <x:v>60</x:v>
      </x:c>
      <x:c r="N518">
        <x:v>12</x:v>
      </x:c>
      <x:c r="O518">
        <x:v>4</x:v>
      </x:c>
      <x:c r="P518">
        <x:v>42</x:v>
      </x:c>
      <x:c r="Q518" t="s">
        <x:v>27</x:v>
      </x:c>
      <x:c r="R518" t="n">
        <x:f>IF(subscriptions[[#This Row],[churned]]="Yes",1,0)</x:f>
        <x:v>1</x:v>
      </x:c>
      <x:c r="S518" s="11" t="n">
        <x:f>IF(K518="Yes",(L518-J518)/30.4375,"")</x:f>
        <x:v>5.486652977412731</x:v>
      </x:c>
      <x:c r="T518" t="str">
        <x:f>IF(AND(K518="No",P518&lt;40,O518&lt;=4),"High Risk","")</x:f>
      </x:c>
    </x:row>
    <x:row r="519">
      <x:c r="A519" t="s">
        <x:v>576</x:v>
      </x:c>
      <x:c r="B519" t="s">
        <x:v>33</x:v>
      </x:c>
      <x:c r="C519" t="s">
        <x:v>29</x:v>
      </x:c>
      <x:c r="D519" t="s">
        <x:v>43</x:v>
      </x:c>
      <x:c r="E519" t="s">
        <x:v>40</x:v>
      </x:c>
      <x:c r="F519">
        <x:v>21</x:v>
      </x:c>
      <x:c r="G519">
        <x:v>98.6</x:v>
      </x:c>
      <x:c r="H519" t="s">
        <x:v>64</x:v>
      </x:c>
      <x:c r="I519" t="s">
        <x:v>24</x:v>
      </x:c>
      <x:c r="J519" s="1">
        <x:v>45797</x:v>
      </x:c>
      <x:c r="K519" t="s">
        <x:v>27</x:v>
      </x:c>
      <x:c r="M519"/>
      <x:c r="N519">
        <x:v>4</x:v>
      </x:c>
      <x:c r="O519">
        <x:v>7</x:v>
      </x:c>
      <x:c r="P519">
        <x:v>71</x:v>
      </x:c>
      <x:c r="Q519" t="s">
        <x:v>27</x:v>
      </x:c>
      <x:c r="R519" t="n">
        <x:f>IF(subscriptions[[#This Row],[churned]]="Yes",1,0)</x:f>
        <x:v>0</x:v>
      </x:c>
      <x:c r="S519" s="11" t="str">
        <x:f>IF(K519="Yes",(L519-J519)/30.4375,"")</x:f>
      </x:c>
      <x:c r="T519" t="str">
        <x:f>IF(AND(K519="No",P519&lt;40,O519&lt;=4),"High Risk","")</x:f>
      </x:c>
    </x:row>
    <x:row r="520">
      <x:c r="A520" t="s">
        <x:v>577</x:v>
      </x:c>
      <x:c r="B520" t="s">
        <x:v>38</x:v>
      </x:c>
      <x:c r="C520" t="s">
        <x:v>29</x:v>
      </x:c>
      <x:c r="D520" t="s">
        <x:v>53</x:v>
      </x:c>
      <x:c r="E520" t="s">
        <x:v>40</x:v>
      </x:c>
      <x:c r="F520">
        <x:v>34</x:v>
      </x:c>
      <x:c r="G520">
        <x:v>1006.44</x:v>
      </x:c>
      <x:c r="H520" t="s">
        <x:v>64</x:v>
      </x:c>
      <x:c r="I520" t="s">
        <x:v>59</x:v>
      </x:c>
      <x:c r="J520" s="1">
        <x:v>44791</x:v>
      </x:c>
      <x:c r="K520" t="s">
        <x:v>27</x:v>
      </x:c>
      <x:c r="M520"/>
      <x:c r="N520">
        <x:v>10</x:v>
      </x:c>
      <x:c r="O520">
        <x:v>4</x:v>
      </x:c>
      <x:c r="P520">
        <x:v>84</x:v>
      </x:c>
      <x:c r="Q520" t="s">
        <x:v>27</x:v>
      </x:c>
      <x:c r="R520" t="n">
        <x:f>IF(subscriptions[[#This Row],[churned]]="Yes",1,0)</x:f>
        <x:v>0</x:v>
      </x:c>
      <x:c r="S520" s="11" t="str">
        <x:f>IF(K520="Yes",(L520-J520)/30.4375,"")</x:f>
      </x:c>
      <x:c r="T520" t="str">
        <x:f>IF(AND(K520="No",P520&lt;40,O520&lt;=4),"High Risk","")</x:f>
      </x:c>
    </x:row>
    <x:row r="521">
      <x:c r="A521" t="s">
        <x:v>578</x:v>
      </x:c>
      <x:c r="B521" t="s">
        <x:v>19</x:v>
      </x:c>
      <x:c r="C521" t="s">
        <x:v>20</x:v>
      </x:c>
      <x:c r="D521" t="s">
        <x:v>56</x:v>
      </x:c>
      <x:c r="E521" t="s">
        <x:v>40</x:v>
      </x:c>
      <x:c r="F521">
        <x:v>31</x:v>
      </x:c>
      <x:c r="G521">
        <x:v>434.5</x:v>
      </x:c>
      <x:c r="H521" t="s">
        <x:v>64</x:v>
      </x:c>
      <x:c r="I521" t="s">
        <x:v>41</x:v>
      </x:c>
      <x:c r="J521" s="1">
        <x:v>44724</x:v>
      </x:c>
      <x:c r="K521" t="s">
        <x:v>25</x:v>
      </x:c>
      <x:c r="L521" s="1">
        <x:v>45412</x:v>
      </x:c>
      <x:c r="M521" t="s">
        <x:v>54</x:v>
      </x:c>
      <x:c r="N521">
        <x:v>10</x:v>
      </x:c>
      <x:c r="O521">
        <x:v>4</x:v>
      </x:c>
      <x:c r="P521">
        <x:v>20</x:v>
      </x:c>
      <x:c r="Q521" t="s">
        <x:v>27</x:v>
      </x:c>
      <x:c r="R521" t="n">
        <x:f>IF(subscriptions[[#This Row],[churned]]="Yes",1,0)</x:f>
        <x:v>1</x:v>
      </x:c>
      <x:c r="S521" s="11" t="n">
        <x:f>IF(K521="Yes",(L521-J521)/30.4375,"")</x:f>
        <x:v>22.60369609856263</x:v>
      </x:c>
      <x:c r="T521" t="str">
        <x:f>IF(AND(K521="No",P521&lt;40,O521&lt;=4),"High Risk","")</x:f>
      </x:c>
    </x:row>
    <x:row r="522">
      <x:c r="A522" t="s">
        <x:v>579</x:v>
      </x:c>
      <x:c r="B522" t="s">
        <x:v>75</x:v>
      </x:c>
      <x:c r="C522" t="s">
        <x:v>20</x:v>
      </x:c>
      <x:c r="D522" t="s">
        <x:v>34</x:v>
      </x:c>
      <x:c r="E522" t="s">
        <x:v>46</x:v>
      </x:c>
      <x:c r="F522">
        <x:v>4</x:v>
      </x:c>
      <x:c r="G522">
        <x:v>723.55</x:v>
      </x:c>
      <x:c r="H522" t="s">
        <x:v>23</x:v>
      </x:c>
      <x:c r="I522" t="s">
        <x:v>59</x:v>
      </x:c>
      <x:c r="J522" s="1">
        <x:v>45505</x:v>
      </x:c>
      <x:c r="K522" t="s">
        <x:v>25</x:v>
      </x:c>
      <x:c r="L522" s="1">
        <x:v>45787</x:v>
      </x:c>
      <x:c r="M522" t="s">
        <x:v>60</x:v>
      </x:c>
      <x:c r="N522">
        <x:v>5</x:v>
      </x:c>
      <x:c r="O522">
        <x:v>6</x:v>
      </x:c>
      <x:c r="P522">
        <x:v>31</x:v>
      </x:c>
      <x:c r="Q522" t="s">
        <x:v>27</x:v>
      </x:c>
      <x:c r="R522" t="n">
        <x:f>IF(subscriptions[[#This Row],[churned]]="Yes",1,0)</x:f>
        <x:v>1</x:v>
      </x:c>
      <x:c r="S522" s="11" t="n">
        <x:f>IF(K522="Yes",(L522-J522)/30.4375,"")</x:f>
        <x:v>9.264887063655031</x:v>
      </x:c>
      <x:c r="T522" t="str">
        <x:f>IF(AND(K522="No",P522&lt;40,O522&lt;=4),"High Risk","")</x:f>
      </x:c>
    </x:row>
    <x:row r="523">
      <x:c r="A523" t="s">
        <x:v>580</x:v>
      </x:c>
      <x:c r="B523" t="s">
        <x:v>75</x:v>
      </x:c>
      <x:c r="C523" t="s">
        <x:v>20</x:v>
      </x:c>
      <x:c r="D523" t="s">
        <x:v>45</x:v>
      </x:c>
      <x:c r="E523" t="s">
        <x:v>46</x:v>
      </x:c>
      <x:c r="F523">
        <x:v>7</x:v>
      </x:c>
      <x:c r="G523">
        <x:v>948.1</x:v>
      </x:c>
      <x:c r="H523" t="s">
        <x:v>30</x:v>
      </x:c>
      <x:c r="I523" t="s">
        <x:v>59</x:v>
      </x:c>
      <x:c r="J523" s="1">
        <x:v>45103</x:v>
      </x:c>
      <x:c r="K523" t="s">
        <x:v>27</x:v>
      </x:c>
      <x:c r="M523"/>
      <x:c r="N523">
        <x:v>0</x:v>
      </x:c>
      <x:c r="O523">
        <x:v>5</x:v>
      </x:c>
      <x:c r="P523">
        <x:v>83</x:v>
      </x:c>
      <x:c r="Q523" t="s">
        <x:v>27</x:v>
      </x:c>
      <x:c r="R523" t="n">
        <x:f>IF(subscriptions[[#This Row],[churned]]="Yes",1,0)</x:f>
        <x:v>0</x:v>
      </x:c>
      <x:c r="S523" s="11" t="str">
        <x:f>IF(K523="Yes",(L523-J523)/30.4375,"")</x:f>
      </x:c>
      <x:c r="T523" t="str">
        <x:f>IF(AND(K523="No",P523&lt;40,O523&lt;=4),"High Risk","")</x:f>
      </x:c>
    </x:row>
    <x:row r="524">
      <x:c r="A524" t="s">
        <x:v>581</x:v>
      </x:c>
      <x:c r="B524" t="s">
        <x:v>38</x:v>
      </x:c>
      <x:c r="C524" t="s">
        <x:v>20</x:v>
      </x:c>
      <x:c r="D524" t="s">
        <x:v>56</x:v>
      </x:c>
      <x:c r="E524" t="s">
        <x:v>46</x:v>
      </x:c>
      <x:c r="F524">
        <x:v>7</x:v>
      </x:c>
      <x:c r="G524">
        <x:v>378.1</x:v>
      </x:c>
      <x:c r="H524" t="s">
        <x:v>36</x:v>
      </x:c>
      <x:c r="I524" t="s">
        <x:v>41</x:v>
      </x:c>
      <x:c r="J524" s="1">
        <x:v>45298</x:v>
      </x:c>
      <x:c r="K524" t="s">
        <x:v>25</x:v>
      </x:c>
      <x:c r="L524" s="1">
        <x:v>45773</x:v>
      </x:c>
      <x:c r="M524" t="s">
        <x:v>86</x:v>
      </x:c>
      <x:c r="N524">
        <x:v>0</x:v>
      </x:c>
      <x:c r="O524">
        <x:v>1</x:v>
      </x:c>
      <x:c r="P524">
        <x:v>36</x:v>
      </x:c>
      <x:c r="Q524" t="s">
        <x:v>27</x:v>
      </x:c>
      <x:c r="R524" t="n">
        <x:f>IF(subscriptions[[#This Row],[churned]]="Yes",1,0)</x:f>
        <x:v>1</x:v>
      </x:c>
      <x:c r="S524" s="11" t="n">
        <x:f>IF(K524="Yes",(L524-J524)/30.4375,"")</x:f>
        <x:v>15.605749486652977</x:v>
      </x:c>
      <x:c r="T524" t="str">
        <x:f>IF(AND(K524="No",P524&lt;40,O524&lt;=4),"High Risk","")</x:f>
      </x:c>
    </x:row>
    <x:row r="525">
      <x:c r="A525" t="s">
        <x:v>582</x:v>
      </x:c>
      <x:c r="B525" t="s">
        <x:v>19</x:v>
      </x:c>
      <x:c r="C525" t="s">
        <x:v>20</x:v>
      </x:c>
      <x:c r="D525" t="s">
        <x:v>53</x:v>
      </x:c>
      <x:c r="E525" t="s">
        <x:v>22</x:v>
      </x:c>
      <x:c r="F525">
        <x:v>59</x:v>
      </x:c>
      <x:c r="G525">
        <x:v>766.3</x:v>
      </x:c>
      <x:c r="H525" t="s">
        <x:v>36</x:v>
      </x:c>
      <x:c r="I525" t="s">
        <x:v>24</x:v>
      </x:c>
      <x:c r="J525" s="1">
        <x:v>44599</x:v>
      </x:c>
      <x:c r="K525" t="s">
        <x:v>27</x:v>
      </x:c>
      <x:c r="M525"/>
      <x:c r="N525">
        <x:v>2</x:v>
      </x:c>
      <x:c r="O525">
        <x:v>7</x:v>
      </x:c>
      <x:c r="P525">
        <x:v>51</x:v>
      </x:c>
      <x:c r="Q525" t="s">
        <x:v>27</x:v>
      </x:c>
      <x:c r="R525" t="n">
        <x:f>IF(subscriptions[[#This Row],[churned]]="Yes",1,0)</x:f>
        <x:v>0</x:v>
      </x:c>
      <x:c r="S525" s="11" t="str">
        <x:f>IF(K525="Yes",(L525-J525)/30.4375,"")</x:f>
      </x:c>
      <x:c r="T525" t="str">
        <x:f>IF(AND(K525="No",P525&lt;40,O525&lt;=4),"High Risk","")</x:f>
      </x:c>
    </x:row>
    <x:row r="526">
      <x:c r="A526" t="s">
        <x:v>583</x:v>
      </x:c>
      <x:c r="B526" t="s">
        <x:v>75</x:v>
      </x:c>
      <x:c r="C526" t="s">
        <x:v>29</x:v>
      </x:c>
      <x:c r="D526" t="s">
        <x:v>43</x:v>
      </x:c>
      <x:c r="E526" t="s">
        <x:v>46</x:v>
      </x:c>
      <x:c r="F526">
        <x:v>1</x:v>
      </x:c>
      <x:c r="G526">
        <x:v>424.15</x:v>
      </x:c>
      <x:c r="H526" t="s">
        <x:v>64</x:v>
      </x:c>
      <x:c r="I526" t="s">
        <x:v>73</x:v>
      </x:c>
      <x:c r="J526" s="1">
        <x:v>44774</x:v>
      </x:c>
      <x:c r="K526" t="s">
        <x:v>27</x:v>
      </x:c>
      <x:c r="M526"/>
      <x:c r="N526">
        <x:v>2</x:v>
      </x:c>
      <x:c r="O526">
        <x:v>1</x:v>
      </x:c>
      <x:c r="P526">
        <x:v>65</x:v>
      </x:c>
      <x:c r="Q526" t="s">
        <x:v>27</x:v>
      </x:c>
      <x:c r="R526" t="n">
        <x:f>IF(subscriptions[[#This Row],[churned]]="Yes",1,0)</x:f>
        <x:v>0</x:v>
      </x:c>
      <x:c r="S526" s="11" t="str">
        <x:f>IF(K526="Yes",(L526-J526)/30.4375,"")</x:f>
      </x:c>
      <x:c r="T526" t="str">
        <x:f>IF(AND(K526="No",P526&lt;40,O526&lt;=4),"High Risk","")</x:f>
      </x:c>
    </x:row>
    <x:row r="527">
      <x:c r="A527" t="s">
        <x:v>584</x:v>
      </x:c>
      <x:c r="B527" t="s">
        <x:v>19</x:v>
      </x:c>
      <x:c r="C527" t="s">
        <x:v>20</x:v>
      </x:c>
      <x:c r="D527" t="s">
        <x:v>39</x:v>
      </x:c>
      <x:c r="E527" t="s">
        <x:v>46</x:v>
      </x:c>
      <x:c r="F527">
        <x:v>8</x:v>
      </x:c>
      <x:c r="G527">
        <x:v>161.94999999999999</x:v>
      </x:c>
      <x:c r="H527" t="s">
        <x:v>64</x:v>
      </x:c>
      <x:c r="I527" t="s">
        <x:v>73</x:v>
      </x:c>
      <x:c r="J527" s="1">
        <x:v>45047</x:v>
      </x:c>
      <x:c r="K527" t="s">
        <x:v>25</x:v>
      </x:c>
      <x:c r="L527" s="1">
        <x:v>45101</x:v>
      </x:c>
      <x:c r="M527" t="s">
        <x:v>57</x:v>
      </x:c>
      <x:c r="N527">
        <x:v>3</x:v>
      </x:c>
      <x:c r="O527">
        <x:v>1</x:v>
      </x:c>
      <x:c r="P527">
        <x:v>27</x:v>
      </x:c>
      <x:c r="Q527" t="s">
        <x:v>27</x:v>
      </x:c>
      <x:c r="R527" t="n">
        <x:f>IF(subscriptions[[#This Row],[churned]]="Yes",1,0)</x:f>
        <x:v>1</x:v>
      </x:c>
      <x:c r="S527" s="11" t="n">
        <x:f>IF(K527="Yes",(L527-J527)/30.4375,"")</x:f>
        <x:v>1.7741273100616017</x:v>
      </x:c>
      <x:c r="T527" t="str">
        <x:f>IF(AND(K527="No",P527&lt;40,O527&lt;=4),"High Risk","")</x:f>
      </x:c>
    </x:row>
    <x:row r="528">
      <x:c r="A528" t="s">
        <x:v>585</x:v>
      </x:c>
      <x:c r="B528" t="s">
        <x:v>38</x:v>
      </x:c>
      <x:c r="C528" t="s">
        <x:v>29</x:v>
      </x:c>
      <x:c r="D528" t="s">
        <x:v>53</x:v>
      </x:c>
      <x:c r="E528" t="s">
        <x:v>49</x:v>
      </x:c>
      <x:c r="F528">
        <x:v>50</x:v>
      </x:c>
      <x:c r="G528">
        <x:v>1412.4</x:v>
      </x:c>
      <x:c r="H528" t="s">
        <x:v>64</x:v>
      </x:c>
      <x:c r="I528" t="s">
        <x:v>41</x:v>
      </x:c>
      <x:c r="J528" s="1">
        <x:v>45943</x:v>
      </x:c>
      <x:c r="K528" t="s">
        <x:v>27</x:v>
      </x:c>
      <x:c r="M528"/>
      <x:c r="N528">
        <x:v>12</x:v>
      </x:c>
      <x:c r="O528">
        <x:v>5</x:v>
      </x:c>
      <x:c r="P528">
        <x:v>91</x:v>
      </x:c>
      <x:c r="Q528" t="s">
        <x:v>27</x:v>
      </x:c>
      <x:c r="R528" t="n">
        <x:f>IF(subscriptions[[#This Row],[churned]]="Yes",1,0)</x:f>
        <x:v>0</x:v>
      </x:c>
      <x:c r="S528" s="11" t="str">
        <x:f>IF(K528="Yes",(L528-J528)/30.4375,"")</x:f>
      </x:c>
      <x:c r="T528" t="str">
        <x:f>IF(AND(K528="No",P528&lt;40,O528&lt;=4),"High Risk","")</x:f>
      </x:c>
    </x:row>
    <x:row r="529">
      <x:c r="A529" t="s">
        <x:v>586</x:v>
      </x:c>
      <x:c r="B529" t="s">
        <x:v>33</x:v>
      </x:c>
      <x:c r="C529" t="s">
        <x:v>20</x:v>
      </x:c>
      <x:c r="D529" t="s">
        <x:v>72</x:v>
      </x:c>
      <x:c r="E529" t="s">
        <x:v>46</x:v>
      </x:c>
      <x:c r="F529">
        <x:v>7</x:v>
      </x:c>
      <x:c r="G529">
        <x:v>55.1</x:v>
      </x:c>
      <x:c r="H529" t="s">
        <x:v>47</x:v>
      </x:c>
      <x:c r="I529" t="s">
        <x:v>59</x:v>
      </x:c>
      <x:c r="J529" s="1">
        <x:v>45276</x:v>
      </x:c>
      <x:c r="K529" t="s">
        <x:v>25</x:v>
      </x:c>
      <x:c r="L529" s="1">
        <x:v>45871</x:v>
      </x:c>
      <x:c r="M529" t="s">
        <x:v>60</x:v>
      </x:c>
      <x:c r="N529">
        <x:v>6</x:v>
      </x:c>
      <x:c r="O529">
        <x:v>3</x:v>
      </x:c>
      <x:c r="P529">
        <x:v>36</x:v>
      </x:c>
      <x:c r="Q529" t="s">
        <x:v>27</x:v>
      </x:c>
      <x:c r="R529" t="n">
        <x:f>IF(subscriptions[[#This Row],[churned]]="Yes",1,0)</x:f>
        <x:v>1</x:v>
      </x:c>
      <x:c r="S529" s="11" t="n">
        <x:f>IF(K529="Yes",(L529-J529)/30.4375,"")</x:f>
        <x:v>19.548254620123203</x:v>
      </x:c>
      <x:c r="T529" t="str">
        <x:f>IF(AND(K529="No",P529&lt;40,O529&lt;=4),"High Risk","")</x:f>
      </x:c>
    </x:row>
    <x:row r="530">
      <x:c r="A530" t="s">
        <x:v>587</x:v>
      </x:c>
      <x:c r="B530" t="s">
        <x:v>38</x:v>
      </x:c>
      <x:c r="C530" t="s">
        <x:v>29</x:v>
      </x:c>
      <x:c r="D530" t="s">
        <x:v>83</x:v>
      </x:c>
      <x:c r="E530" t="s">
        <x:v>22</x:v>
      </x:c>
      <x:c r="F530">
        <x:v>49</x:v>
      </x:c>
      <x:c r="G530">
        <x:v>1387.03</x:v>
      </x:c>
      <x:c r="H530" t="s">
        <x:v>47</x:v>
      </x:c>
      <x:c r="I530" t="s">
        <x:v>73</x:v>
      </x:c>
      <x:c r="J530" s="1">
        <x:v>45714</x:v>
      </x:c>
      <x:c r="K530" t="s">
        <x:v>27</x:v>
      </x:c>
      <x:c r="M530"/>
      <x:c r="N530">
        <x:v>12</x:v>
      </x:c>
      <x:c r="O530">
        <x:v>9</x:v>
      </x:c>
      <x:c r="P530">
        <x:v>82</x:v>
      </x:c>
      <x:c r="Q530" t="s">
        <x:v>27</x:v>
      </x:c>
      <x:c r="R530" t="n">
        <x:f>IF(subscriptions[[#This Row],[churned]]="Yes",1,0)</x:f>
        <x:v>0</x:v>
      </x:c>
      <x:c r="S530" s="11" t="str">
        <x:f>IF(K530="Yes",(L530-J530)/30.4375,"")</x:f>
      </x:c>
      <x:c r="T530" t="str">
        <x:f>IF(AND(K530="No",P530&lt;40,O530&lt;=4),"High Risk","")</x:f>
      </x:c>
    </x:row>
    <x:row r="531">
      <x:c r="A531" t="s">
        <x:v>588</x:v>
      </x:c>
      <x:c r="B531" t="s">
        <x:v>75</x:v>
      </x:c>
      <x:c r="C531" t="s">
        <x:v>20</x:v>
      </x:c>
      <x:c r="D531" t="s">
        <x:v>72</x:v>
      </x:c>
      <x:c r="E531" t="s">
        <x:v>40</x:v>
      </x:c>
      <x:c r="F531">
        <x:v>31</x:v>
      </x:c>
      <x:c r="G531">
        <x:v>2744.5</x:v>
      </x:c>
      <x:c r="H531" t="s">
        <x:v>36</x:v>
      </x:c>
      <x:c r="I531" t="s">
        <x:v>41</x:v>
      </x:c>
      <x:c r="J531" s="1">
        <x:v>45044</x:v>
      </x:c>
      <x:c r="K531" t="s">
        <x:v>27</x:v>
      </x:c>
      <x:c r="M531"/>
      <x:c r="N531">
        <x:v>11</x:v>
      </x:c>
      <x:c r="O531">
        <x:v>3</x:v>
      </x:c>
      <x:c r="P531">
        <x:v>15</x:v>
      </x:c>
      <x:c r="Q531" t="s">
        <x:v>27</x:v>
      </x:c>
      <x:c r="R531" t="n">
        <x:f>IF(subscriptions[[#This Row],[churned]]="Yes",1,0)</x:f>
        <x:v>0</x:v>
      </x:c>
      <x:c r="S531" s="11" t="str">
        <x:f>IF(K531="Yes",(L531-J531)/30.4375,"")</x:f>
      </x:c>
      <x:c r="T531" t="str">
        <x:f>IF(AND(K531="No",P531&lt;40,O531&lt;=4),"High Risk","")</x:f>
        <x:v>High Risk</x:v>
      </x:c>
    </x:row>
    <x:row r="532">
      <x:c r="A532" t="s">
        <x:v>589</x:v>
      </x:c>
      <x:c r="B532" t="s">
        <x:v>19</x:v>
      </x:c>
      <x:c r="C532" t="s">
        <x:v>20</x:v>
      </x:c>
      <x:c r="D532" t="s">
        <x:v>39</x:v>
      </x:c>
      <x:c r="E532" t="s">
        <x:v>40</x:v>
      </x:c>
      <x:c r="F532">
        <x:v>20</x:v>
      </x:c>
      <x:c r="G532">
        <x:v>304.14999999999998</x:v>
      </x:c>
      <x:c r="H532" t="s">
        <x:v>23</x:v>
      </x:c>
      <x:c r="I532" t="s">
        <x:v>24</x:v>
      </x:c>
      <x:c r="J532" s="1">
        <x:v>45150</x:v>
      </x:c>
      <x:c r="K532" t="s">
        <x:v>27</x:v>
      </x:c>
      <x:c r="M532"/>
      <x:c r="N532">
        <x:v>10</x:v>
      </x:c>
      <x:c r="O532">
        <x:v>1</x:v>
      </x:c>
      <x:c r="P532">
        <x:v>76</x:v>
      </x:c>
      <x:c r="Q532" t="s">
        <x:v>27</x:v>
      </x:c>
      <x:c r="R532" t="n">
        <x:f>IF(subscriptions[[#This Row],[churned]]="Yes",1,0)</x:f>
        <x:v>0</x:v>
      </x:c>
      <x:c r="S532" s="11" t="str">
        <x:f>IF(K532="Yes",(L532-J532)/30.4375,"")</x:f>
      </x:c>
      <x:c r="T532" t="str">
        <x:f>IF(AND(K532="No",P532&lt;40,O532&lt;=4),"High Risk","")</x:f>
      </x:c>
    </x:row>
    <x:row r="533">
      <x:c r="A533" t="s">
        <x:v>590</x:v>
      </x:c>
      <x:c r="B533" t="s">
        <x:v>33</x:v>
      </x:c>
      <x:c r="C533" t="s">
        <x:v>29</x:v>
      </x:c>
      <x:c r="D533" t="s">
        <x:v>72</x:v>
      </x:c>
      <x:c r="E533" t="s">
        <x:v>22</x:v>
      </x:c>
      <x:c r="F533">
        <x:v>67</x:v>
      </x:c>
      <x:c r="G533">
        <x:v>268.69</x:v>
      </x:c>
      <x:c r="H533" t="s">
        <x:v>36</x:v>
      </x:c>
      <x:c r="I533" t="s">
        <x:v>59</x:v>
      </x:c>
      <x:c r="J533" s="1">
        <x:v>45523</x:v>
      </x:c>
      <x:c r="K533" t="s">
        <x:v>27</x:v>
      </x:c>
      <x:c r="M533"/>
      <x:c r="N533">
        <x:v>3</x:v>
      </x:c>
      <x:c r="O533">
        <x:v>6</x:v>
      </x:c>
      <x:c r="P533">
        <x:v>55</x:v>
      </x:c>
      <x:c r="Q533" t="s">
        <x:v>27</x:v>
      </x:c>
      <x:c r="R533" t="n">
        <x:f>IF(subscriptions[[#This Row],[churned]]="Yes",1,0)</x:f>
        <x:v>0</x:v>
      </x:c>
      <x:c r="S533" s="11" t="str">
        <x:f>IF(K533="Yes",(L533-J533)/30.4375,"")</x:f>
      </x:c>
      <x:c r="T533" t="str">
        <x:f>IF(AND(K533="No",P533&lt;40,O533&lt;=4),"High Risk","")</x:f>
      </x:c>
    </x:row>
    <x:row r="534">
      <x:c r="A534" t="s">
        <x:v>591</x:v>
      </x:c>
      <x:c r="B534" t="s">
        <x:v>75</x:v>
      </x:c>
      <x:c r="C534" t="s">
        <x:v>20</x:v>
      </x:c>
      <x:c r="D534" t="s">
        <x:v>56</x:v>
      </x:c>
      <x:c r="E534" t="s">
        <x:v>49</x:v>
      </x:c>
      <x:c r="F534">
        <x:v>85</x:v>
      </x:c>
      <x:c r="G534">
        <x:v>6786.4</x:v>
      </x:c>
      <x:c r="H534" t="s">
        <x:v>30</x:v>
      </x:c>
      <x:c r="I534" t="s">
        <x:v>41</x:v>
      </x:c>
      <x:c r="J534" s="1">
        <x:v>45490</x:v>
      </x:c>
      <x:c r="K534" t="s">
        <x:v>27</x:v>
      </x:c>
      <x:c r="M534"/>
      <x:c r="N534">
        <x:v>4</x:v>
      </x:c>
      <x:c r="O534">
        <x:v>7</x:v>
      </x:c>
      <x:c r="P534">
        <x:v>54</x:v>
      </x:c>
      <x:c r="Q534" t="s">
        <x:v>25</x:v>
      </x:c>
      <x:c r="R534" t="n">
        <x:f>IF(subscriptions[[#This Row],[churned]]="Yes",1,0)</x:f>
        <x:v>0</x:v>
      </x:c>
      <x:c r="S534" s="11" t="str">
        <x:f>IF(K534="Yes",(L534-J534)/30.4375,"")</x:f>
      </x:c>
      <x:c r="T534" t="str">
        <x:f>IF(AND(K534="No",P534&lt;40,O534&lt;=4),"High Risk","")</x:f>
      </x:c>
    </x:row>
    <x:row r="535">
      <x:c r="A535" t="s">
        <x:v>592</x:v>
      </x:c>
      <x:c r="B535" t="s">
        <x:v>33</x:v>
      </x:c>
      <x:c r="C535" t="s">
        <x:v>20</x:v>
      </x:c>
      <x:c r="D535" t="s">
        <x:v>39</x:v>
      </x:c>
      <x:c r="E535" t="s">
        <x:v>46</x:v>
      </x:c>
      <x:c r="F535">
        <x:v>2</x:v>
      </x:c>
      <x:c r="G535">
        <x:v>33.35</x:v>
      </x:c>
      <x:c r="H535" t="s">
        <x:v>23</x:v>
      </x:c>
      <x:c r="I535" t="s">
        <x:v>59</x:v>
      </x:c>
      <x:c r="J535" s="1">
        <x:v>45094</x:v>
      </x:c>
      <x:c r="K535" t="s">
        <x:v>25</x:v>
      </x:c>
      <x:c r="L535" s="1">
        <x:v>45134</x:v>
      </x:c>
      <x:c r="M535" t="s">
        <x:v>60</x:v>
      </x:c>
      <x:c r="N535">
        <x:v>13</x:v>
      </x:c>
      <x:c r="O535">
        <x:v>2</x:v>
      </x:c>
      <x:c r="P535">
        <x:v>17</x:v>
      </x:c>
      <x:c r="Q535" t="s">
        <x:v>27</x:v>
      </x:c>
      <x:c r="R535" t="n">
        <x:f>IF(subscriptions[[#This Row],[churned]]="Yes",1,0)</x:f>
        <x:v>1</x:v>
      </x:c>
      <x:c r="S535" s="11" t="n">
        <x:f>IF(K535="Yes",(L535-J535)/30.4375,"")</x:f>
        <x:v>1.3141683778234086</x:v>
      </x:c>
      <x:c r="T535" t="str">
        <x:f>IF(AND(K535="No",P535&lt;40,O535&lt;=4),"High Risk","")</x:f>
      </x:c>
    </x:row>
    <x:row r="536">
      <x:c r="A536" t="s">
        <x:v>593</x:v>
      </x:c>
      <x:c r="B536" t="s">
        <x:v>75</x:v>
      </x:c>
      <x:c r="C536" t="s">
        <x:v>29</x:v>
      </x:c>
      <x:c r="D536" t="s">
        <x:v>34</x:v>
      </x:c>
      <x:c r="E536" t="s">
        <x:v>49</x:v>
      </x:c>
      <x:c r="F536">
        <x:v>52</x:v>
      </x:c>
      <x:c r="G536">
        <x:v>3668.9</x:v>
      </x:c>
      <x:c r="H536" t="s">
        <x:v>47</x:v>
      </x:c>
      <x:c r="I536" t="s">
        <x:v>41</x:v>
      </x:c>
      <x:c r="J536" s="1">
        <x:v>45498</x:v>
      </x:c>
      <x:c r="K536" t="s">
        <x:v>27</x:v>
      </x:c>
      <x:c r="M536"/>
      <x:c r="N536">
        <x:v>9</x:v>
      </x:c>
      <x:c r="O536">
        <x:v>7</x:v>
      </x:c>
      <x:c r="P536">
        <x:v>93</x:v>
      </x:c>
      <x:c r="Q536" t="s">
        <x:v>27</x:v>
      </x:c>
      <x:c r="R536" t="n">
        <x:f>IF(subscriptions[[#This Row],[churned]]="Yes",1,0)</x:f>
        <x:v>0</x:v>
      </x:c>
      <x:c r="S536" s="11" t="str">
        <x:f>IF(K536="Yes",(L536-J536)/30.4375,"")</x:f>
      </x:c>
      <x:c r="T536" t="str">
        <x:f>IF(AND(K536="No",P536&lt;40,O536&lt;=4),"High Risk","")</x:f>
      </x:c>
    </x:row>
    <x:row r="537">
      <x:c r="A537" t="s">
        <x:v>594</x:v>
      </x:c>
      <x:c r="B537" t="s">
        <x:v>33</x:v>
      </x:c>
      <x:c r="C537" t="s">
        <x:v>29</x:v>
      </x:c>
      <x:c r="D537" t="s">
        <x:v>39</x:v>
      </x:c>
      <x:c r="E537" t="s">
        <x:v>22</x:v>
      </x:c>
      <x:c r="F537">
        <x:v>58</x:v>
      </x:c>
      <x:c r="G537">
        <x:v>235.41</x:v>
      </x:c>
      <x:c r="H537" t="s">
        <x:v>102</x:v>
      </x:c>
      <x:c r="I537" t="s">
        <x:v>59</x:v>
      </x:c>
      <x:c r="J537" s="1">
        <x:v>44870</x:v>
      </x:c>
      <x:c r="K537" t="s">
        <x:v>25</x:v>
      </x:c>
      <x:c r="L537" s="1">
        <x:v>44871</x:v>
      </x:c>
      <x:c r="M537" t="s">
        <x:v>60</x:v>
      </x:c>
      <x:c r="N537">
        <x:v>4</x:v>
      </x:c>
      <x:c r="O537">
        <x:v>5</x:v>
      </x:c>
      <x:c r="P537">
        <x:v>20</x:v>
      </x:c>
      <x:c r="Q537" t="s">
        <x:v>27</x:v>
      </x:c>
      <x:c r="R537" t="n">
        <x:f>IF(subscriptions[[#This Row],[churned]]="Yes",1,0)</x:f>
        <x:v>1</x:v>
      </x:c>
      <x:c r="S537" s="11" t="n">
        <x:f>IF(K537="Yes",(L537-J537)/30.4375,"")</x:f>
        <x:v>0.03285420944558522</x:v>
      </x:c>
      <x:c r="T537" t="str">
        <x:f>IF(AND(K537="No",P537&lt;40,O537&lt;=4),"High Risk","")</x:f>
      </x:c>
    </x:row>
    <x:row r="538">
      <x:c r="A538" t="s">
        <x:v>595</x:v>
      </x:c>
      <x:c r="B538" t="s">
        <x:v>33</x:v>
      </x:c>
      <x:c r="C538" t="s">
        <x:v>20</x:v>
      </x:c>
      <x:c r="D538" t="s">
        <x:v>72</x:v>
      </x:c>
      <x:c r="E538" t="s">
        <x:v>40</x:v>
      </x:c>
      <x:c r="F538">
        <x:v>26</x:v>
      </x:c>
      <x:c r="G538">
        <x:v>137.75</x:v>
      </x:c>
      <x:c r="H538" t="s">
        <x:v>64</x:v>
      </x:c>
      <x:c r="I538" t="s">
        <x:v>24</x:v>
      </x:c>
      <x:c r="J538" s="1">
        <x:v>45091</x:v>
      </x:c>
      <x:c r="K538" t="s">
        <x:v>25</x:v>
      </x:c>
      <x:c r="L538" s="1">
        <x:v>45091</x:v>
      </x:c>
      <x:c r="M538" t="s">
        <x:v>26</x:v>
      </x:c>
      <x:c r="N538">
        <x:v>0</x:v>
      </x:c>
      <x:c r="O538">
        <x:v>3</x:v>
      </x:c>
      <x:c r="P538">
        <x:v>23</x:v>
      </x:c>
      <x:c r="Q538" t="s">
        <x:v>27</x:v>
      </x:c>
      <x:c r="R538" t="n">
        <x:f>IF(subscriptions[[#This Row],[churned]]="Yes",1,0)</x:f>
        <x:v>1</x:v>
      </x:c>
      <x:c r="S538" s="11" t="n">
        <x:f>IF(K538="Yes",(L538-J538)/30.4375,"")</x:f>
        <x:v>0</x:v>
      </x:c>
      <x:c r="T538" t="str">
        <x:f>IF(AND(K538="No",P538&lt;40,O538&lt;=4),"High Risk","")</x:f>
      </x:c>
    </x:row>
    <x:row r="539">
      <x:c r="A539" t="s">
        <x:v>596</x:v>
      </x:c>
      <x:c r="B539" t="s">
        <x:v>19</x:v>
      </x:c>
      <x:c r="C539" t="s">
        <x:v>20</x:v>
      </x:c>
      <x:c r="D539" t="s">
        <x:v>39</x:v>
      </x:c>
      <x:c r="E539" t="s">
        <x:v>46</x:v>
      </x:c>
      <x:c r="F539">
        <x:v>8</x:v>
      </x:c>
      <x:c r="G539">
        <x:v>161.94999999999999</x:v>
      </x:c>
      <x:c r="H539" t="s">
        <x:v>64</x:v>
      </x:c>
      <x:c r="I539" t="s">
        <x:v>41</x:v>
      </x:c>
      <x:c r="J539" s="1">
        <x:v>45781</x:v>
      </x:c>
      <x:c r="K539" t="s">
        <x:v>25</x:v>
      </x:c>
      <x:c r="L539" s="1">
        <x:v>45877</x:v>
      </x:c>
      <x:c r="M539" t="s">
        <x:v>26</x:v>
      </x:c>
      <x:c r="N539">
        <x:v>5</x:v>
      </x:c>
      <x:c r="O539">
        <x:v>2</x:v>
      </x:c>
      <x:c r="P539">
        <x:v>49</x:v>
      </x:c>
      <x:c r="Q539" t="s">
        <x:v>27</x:v>
      </x:c>
      <x:c r="R539" t="n">
        <x:f>IF(subscriptions[[#This Row],[churned]]="Yes",1,0)</x:f>
        <x:v>1</x:v>
      </x:c>
      <x:c r="S539" s="11" t="n">
        <x:f>IF(K539="Yes",(L539-J539)/30.4375,"")</x:f>
        <x:v>3.154004106776181</x:v>
      </x:c>
      <x:c r="T539" t="str">
        <x:f>IF(AND(K539="No",P539&lt;40,O539&lt;=4),"High Risk","")</x:f>
      </x:c>
    </x:row>
    <x:row r="540">
      <x:c r="A540" t="s">
        <x:v>597</x:v>
      </x:c>
      <x:c r="B540" t="s">
        <x:v>38</x:v>
      </x:c>
      <x:c r="C540" t="s">
        <x:v>29</x:v>
      </x:c>
      <x:c r="D540" t="s">
        <x:v>56</x:v>
      </x:c>
      <x:c r="E540" t="s">
        <x:v>22</x:v>
      </x:c>
      <x:c r="F540">
        <x:v>20</x:v>
      </x:c>
      <x:c r="G540">
        <x:v>651.23</x:v>
      </x:c>
      <x:c r="H540" t="s">
        <x:v>102</x:v>
      </x:c>
      <x:c r="I540" t="s">
        <x:v>24</x:v>
      </x:c>
      <x:c r="J540" s="1">
        <x:v>45437</x:v>
      </x:c>
      <x:c r="K540" t="s">
        <x:v>27</x:v>
      </x:c>
      <x:c r="M540"/>
      <x:c r="N540">
        <x:v>8</x:v>
      </x:c>
      <x:c r="O540">
        <x:v>9</x:v>
      </x:c>
      <x:c r="P540">
        <x:v>90</x:v>
      </x:c>
      <x:c r="Q540" t="s">
        <x:v>27</x:v>
      </x:c>
      <x:c r="R540" t="n">
        <x:f>IF(subscriptions[[#This Row],[churned]]="Yes",1,0)</x:f>
        <x:v>0</x:v>
      </x:c>
      <x:c r="S540" s="11" t="str">
        <x:f>IF(K540="Yes",(L540-J540)/30.4375,"")</x:f>
      </x:c>
      <x:c r="T540" t="str">
        <x:f>IF(AND(K540="No",P540&lt;40,O540&lt;=4),"High Risk","")</x:f>
      </x:c>
    </x:row>
    <x:row r="541">
      <x:c r="A541" t="s">
        <x:v>598</x:v>
      </x:c>
      <x:c r="B541" t="s">
        <x:v>33</x:v>
      </x:c>
      <x:c r="C541" t="s">
        <x:v>20</x:v>
      </x:c>
      <x:c r="D541" t="s">
        <x:v>83</x:v>
      </x:c>
      <x:c r="E541" t="s">
        <x:v>22</x:v>
      </x:c>
      <x:c r="F541">
        <x:v>68</x:v>
      </x:c>
      <x:c r="G541">
        <x:v>320.45</x:v>
      </x:c>
      <x:c r="H541" t="s">
        <x:v>64</x:v>
      </x:c>
      <x:c r="I541" t="s">
        <x:v>24</x:v>
      </x:c>
      <x:c r="J541" s="1">
        <x:v>45539</x:v>
      </x:c>
      <x:c r="K541" t="s">
        <x:v>25</x:v>
      </x:c>
      <x:c r="L541" s="1">
        <x:v>45787</x:v>
      </x:c>
      <x:c r="M541" t="s">
        <x:v>67</x:v>
      </x:c>
      <x:c r="N541">
        <x:v>9</x:v>
      </x:c>
      <x:c r="O541">
        <x:v>4</x:v>
      </x:c>
      <x:c r="P541">
        <x:v>50</x:v>
      </x:c>
      <x:c r="Q541" t="s">
        <x:v>27</x:v>
      </x:c>
      <x:c r="R541" t="n">
        <x:f>IF(subscriptions[[#This Row],[churned]]="Yes",1,0)</x:f>
        <x:v>1</x:v>
      </x:c>
      <x:c r="S541" s="11" t="n">
        <x:f>IF(K541="Yes",(L541-J541)/30.4375,"")</x:f>
        <x:v>8.147843942505133</x:v>
      </x:c>
      <x:c r="T541" t="str">
        <x:f>IF(AND(K541="No",P541&lt;40,O541&lt;=4),"High Risk","")</x:f>
      </x:c>
    </x:row>
    <x:row r="542">
      <x:c r="A542" t="s">
        <x:v>599</x:v>
      </x:c>
      <x:c r="B542" t="s">
        <x:v>19</x:v>
      </x:c>
      <x:c r="C542" t="s">
        <x:v>20</x:v>
      </x:c>
      <x:c r="D542" t="s">
        <x:v>43</x:v>
      </x:c>
      <x:c r="E542" t="s">
        <x:v>49</x:v>
      </x:c>
      <x:c r="F542">
        <x:v>30</x:v>
      </x:c>
      <x:c r="G542">
        <x:v>422.65</x:v>
      </x:c>
      <x:c r="H542" t="s">
        <x:v>47</x:v>
      </x:c>
      <x:c r="I542" t="s">
        <x:v>24</x:v>
      </x:c>
      <x:c r="J542" s="1">
        <x:v>45166</x:v>
      </x:c>
      <x:c r="K542" t="s">
        <x:v>25</x:v>
      </x:c>
      <x:c r="L542" s="1">
        <x:v>45606</x:v>
      </x:c>
      <x:c r="M542" t="s">
        <x:v>57</x:v>
      </x:c>
      <x:c r="N542">
        <x:v>8</x:v>
      </x:c>
      <x:c r="O542">
        <x:v>1</x:v>
      </x:c>
      <x:c r="P542">
        <x:v>50</x:v>
      </x:c>
      <x:c r="Q542" t="s">
        <x:v>27</x:v>
      </x:c>
      <x:c r="R542" t="n">
        <x:f>IF(subscriptions[[#This Row],[churned]]="Yes",1,0)</x:f>
        <x:v>1</x:v>
      </x:c>
      <x:c r="S542" s="11" t="n">
        <x:f>IF(K542="Yes",(L542-J542)/30.4375,"")</x:f>
        <x:v>14.455852156057494</x:v>
      </x:c>
      <x:c r="T542" t="str">
        <x:f>IF(AND(K542="No",P542&lt;40,O542&lt;=4),"High Risk","")</x:f>
      </x:c>
    </x:row>
    <x:row r="543">
      <x:c r="A543" t="s">
        <x:v>600</x:v>
      </x:c>
      <x:c r="B543" t="s">
        <x:v>33</x:v>
      </x:c>
      <x:c r="C543" t="s">
        <x:v>20</x:v>
      </x:c>
      <x:c r="D543" t="s">
        <x:v>66</x:v>
      </x:c>
      <x:c r="E543" t="s">
        <x:v>40</x:v>
      </x:c>
      <x:c r="F543">
        <x:v>28</x:v>
      </x:c>
      <x:c r="G543">
        <x:v>146.44999999999999</x:v>
      </x:c>
      <x:c r="H543" t="s">
        <x:v>30</x:v>
      </x:c>
      <x:c r="I543" t="s">
        <x:v>24</x:v>
      </x:c>
      <x:c r="J543" s="1">
        <x:v>45954</x:v>
      </x:c>
      <x:c r="K543" t="s">
        <x:v>27</x:v>
      </x:c>
      <x:c r="M543"/>
      <x:c r="N543">
        <x:v>7</x:v>
      </x:c>
      <x:c r="O543">
        <x:v>1</x:v>
      </x:c>
      <x:c r="P543">
        <x:v>91</x:v>
      </x:c>
      <x:c r="Q543" t="s">
        <x:v>27</x:v>
      </x:c>
      <x:c r="R543" t="n">
        <x:f>IF(subscriptions[[#This Row],[churned]]="Yes",1,0)</x:f>
        <x:v>0</x:v>
      </x:c>
      <x:c r="S543" s="11" t="str">
        <x:f>IF(K543="Yes",(L543-J543)/30.4375,"")</x:f>
      </x:c>
      <x:c r="T543" t="str">
        <x:f>IF(AND(K543="No",P543&lt;40,O543&lt;=4),"High Risk","")</x:f>
      </x:c>
    </x:row>
    <x:row r="544">
      <x:c r="A544" t="s">
        <x:v>601</x:v>
      </x:c>
      <x:c r="B544" t="s">
        <x:v>75</x:v>
      </x:c>
      <x:c r="C544" t="s">
        <x:v>29</x:v>
      </x:c>
      <x:c r="D544" t="s">
        <x:v>39</x:v>
      </x:c>
      <x:c r="E544" t="s">
        <x:v>46</x:v>
      </x:c>
      <x:c r="F544">
        <x:v>1</x:v>
      </x:c>
      <x:c r="G544">
        <x:v>424.15</x:v>
      </x:c>
      <x:c r="H544" t="s">
        <x:v>36</x:v>
      </x:c>
      <x:c r="I544" t="s">
        <x:v>24</x:v>
      </x:c>
      <x:c r="J544" s="1">
        <x:v>44870</x:v>
      </x:c>
      <x:c r="K544" t="s">
        <x:v>25</x:v>
      </x:c>
      <x:c r="L544" s="1">
        <x:v>45787</x:v>
      </x:c>
      <x:c r="M544" t="s">
        <x:v>67</x:v>
      </x:c>
      <x:c r="N544">
        <x:v>9</x:v>
      </x:c>
      <x:c r="O544">
        <x:v>3</x:v>
      </x:c>
      <x:c r="P544">
        <x:v>24</x:v>
      </x:c>
      <x:c r="Q544" t="s">
        <x:v>27</x:v>
      </x:c>
      <x:c r="R544" t="n">
        <x:f>IF(subscriptions[[#This Row],[churned]]="Yes",1,0)</x:f>
        <x:v>1</x:v>
      </x:c>
      <x:c r="S544" s="11" t="n">
        <x:f>IF(K544="Yes",(L544-J544)/30.4375,"")</x:f>
        <x:v>30.127310061601644</x:v>
      </x:c>
      <x:c r="T544" t="str">
        <x:f>IF(AND(K544="No",P544&lt;40,O544&lt;=4),"High Risk","")</x:f>
      </x:c>
    </x:row>
    <x:row r="545">
      <x:c r="A545" t="s">
        <x:v>602</x:v>
      </x:c>
      <x:c r="B545" t="s">
        <x:v>38</x:v>
      </x:c>
      <x:c r="C545" t="s">
        <x:v>29</x:v>
      </x:c>
      <x:c r="D545" t="s">
        <x:v>39</x:v>
      </x:c>
      <x:c r="E545" t="s">
        <x:v>40</x:v>
      </x:c>
      <x:c r="F545">
        <x:v>16</x:v>
      </x:c>
      <x:c r="G545">
        <x:v>549.74</x:v>
      </x:c>
      <x:c r="H545" t="s">
        <x:v>47</x:v>
      </x:c>
      <x:c r="I545" t="s">
        <x:v>41</x:v>
      </x:c>
      <x:c r="J545" s="1">
        <x:v>45290</x:v>
      </x:c>
      <x:c r="K545" t="s">
        <x:v>27</x:v>
      </x:c>
      <x:c r="M545"/>
      <x:c r="N545">
        <x:v>4</x:v>
      </x:c>
      <x:c r="O545">
        <x:v>3</x:v>
      </x:c>
      <x:c r="P545">
        <x:v>25</x:v>
      </x:c>
      <x:c r="Q545" t="s">
        <x:v>27</x:v>
      </x:c>
      <x:c r="R545" t="n">
        <x:f>IF(subscriptions[[#This Row],[churned]]="Yes",1,0)</x:f>
        <x:v>0</x:v>
      </x:c>
      <x:c r="S545" s="11" t="str">
        <x:f>IF(K545="Yes",(L545-J545)/30.4375,"")</x:f>
      </x:c>
      <x:c r="T545" t="str">
        <x:f>IF(AND(K545="No",P545&lt;40,O545&lt;=4),"High Risk","")</x:f>
        <x:v>High Risk</x:v>
      </x:c>
    </x:row>
    <x:row r="546">
      <x:c r="A546" t="s">
        <x:v>603</x:v>
      </x:c>
      <x:c r="B546" t="s">
        <x:v>33</x:v>
      </x:c>
      <x:c r="C546" t="s">
        <x:v>20</x:v>
      </x:c>
      <x:c r="D546" t="s">
        <x:v>45</x:v>
      </x:c>
      <x:c r="E546" t="s">
        <x:v>46</x:v>
      </x:c>
      <x:c r="F546">
        <x:v>1</x:v>
      </x:c>
      <x:c r="G546">
        <x:v>29</x:v>
      </x:c>
      <x:c r="H546" t="s">
        <x:v>47</x:v>
      </x:c>
      <x:c r="I546" t="s">
        <x:v>41</x:v>
      </x:c>
      <x:c r="J546" s="1">
        <x:v>44685</x:v>
      </x:c>
      <x:c r="K546" t="s">
        <x:v>25</x:v>
      </x:c>
      <x:c r="L546" s="1">
        <x:v>44909</x:v>
      </x:c>
      <x:c r="M546" t="s">
        <x:v>26</x:v>
      </x:c>
      <x:c r="N546">
        <x:v>14</x:v>
      </x:c>
      <x:c r="O546">
        <x:v>2</x:v>
      </x:c>
      <x:c r="P546">
        <x:v>10</x:v>
      </x:c>
      <x:c r="Q546" t="s">
        <x:v>27</x:v>
      </x:c>
      <x:c r="R546" t="n">
        <x:f>IF(subscriptions[[#This Row],[churned]]="Yes",1,0)</x:f>
        <x:v>1</x:v>
      </x:c>
      <x:c r="S546" s="11" t="n">
        <x:f>IF(K546="Yes",(L546-J546)/30.4375,"")</x:f>
        <x:v>7.359342915811088</x:v>
      </x:c>
      <x:c r="T546" t="str">
        <x:f>IF(AND(K546="No",P546&lt;40,O546&lt;=4),"High Risk","")</x:f>
      </x:c>
    </x:row>
    <x:row r="547">
      <x:c r="A547" t="s">
        <x:v>604</x:v>
      </x:c>
      <x:c r="B547" t="s">
        <x:v>19</x:v>
      </x:c>
      <x:c r="C547" t="s">
        <x:v>20</x:v>
      </x:c>
      <x:c r="D547" t="s">
        <x:v>45</x:v>
      </x:c>
      <x:c r="E547" t="s">
        <x:v>40</x:v>
      </x:c>
      <x:c r="F547">
        <x:v>11</x:v>
      </x:c>
      <x:c r="G547">
        <x:v>197.5</x:v>
      </x:c>
      <x:c r="H547" t="s">
        <x:v>30</x:v>
      </x:c>
      <x:c r="I547" t="s">
        <x:v>59</x:v>
      </x:c>
      <x:c r="J547" s="1">
        <x:v>45181</x:v>
      </x:c>
      <x:c r="K547" t="s">
        <x:v>25</x:v>
      </x:c>
      <x:c r="L547" s="1">
        <x:v>45407</x:v>
      </x:c>
      <x:c r="M547" t="s">
        <x:v>60</x:v>
      </x:c>
      <x:c r="N547">
        <x:v>12</x:v>
      </x:c>
      <x:c r="O547">
        <x:v>2</x:v>
      </x:c>
      <x:c r="P547">
        <x:v>10</x:v>
      </x:c>
      <x:c r="Q547" t="s">
        <x:v>27</x:v>
      </x:c>
      <x:c r="R547" t="n">
        <x:f>IF(subscriptions[[#This Row],[churned]]="Yes",1,0)</x:f>
        <x:v>1</x:v>
      </x:c>
      <x:c r="S547" s="11" t="n">
        <x:f>IF(K547="Yes",(L547-J547)/30.4375,"")</x:f>
        <x:v>7.425051334702259</x:v>
      </x:c>
      <x:c r="T547" t="str">
        <x:f>IF(AND(K547="No",P547&lt;40,O547&lt;=4),"High Risk","")</x:f>
      </x:c>
    </x:row>
    <x:row r="548">
      <x:c r="A548" t="s">
        <x:v>605</x:v>
      </x:c>
      <x:c r="B548" t="s">
        <x:v>75</x:v>
      </x:c>
      <x:c r="C548" t="s">
        <x:v>20</x:v>
      </x:c>
      <x:c r="D548" t="s">
        <x:v>21</x:v>
      </x:c>
      <x:c r="E548" t="s">
        <x:v>46</x:v>
      </x:c>
      <x:c r="F548">
        <x:v>2</x:v>
      </x:c>
      <x:c r="G548">
        <x:v>573.85</x:v>
      </x:c>
      <x:c r="H548" t="s">
        <x:v>23</x:v>
      </x:c>
      <x:c r="I548" t="s">
        <x:v>24</x:v>
      </x:c>
      <x:c r="J548" s="1">
        <x:v>44936</x:v>
      </x:c>
      <x:c r="K548" t="s">
        <x:v>25</x:v>
      </x:c>
      <x:c r="L548" s="1">
        <x:v>45706</x:v>
      </x:c>
      <x:c r="M548" t="s">
        <x:v>50</x:v>
      </x:c>
      <x:c r="N548">
        <x:v>10</x:v>
      </x:c>
      <x:c r="O548">
        <x:v>3</x:v>
      </x:c>
      <x:c r="P548">
        <x:v>22</x:v>
      </x:c>
      <x:c r="Q548" t="s">
        <x:v>27</x:v>
      </x:c>
      <x:c r="R548" t="n">
        <x:f>IF(subscriptions[[#This Row],[churned]]="Yes",1,0)</x:f>
        <x:v>1</x:v>
      </x:c>
      <x:c r="S548" s="11" t="n">
        <x:f>IF(K548="Yes",(L548-J548)/30.4375,"")</x:f>
        <x:v>25.297741273100616</x:v>
      </x:c>
      <x:c r="T548" t="str">
        <x:f>IF(AND(K548="No",P548&lt;40,O548&lt;=4),"High Risk","")</x:f>
      </x:c>
    </x:row>
    <x:row r="549">
      <x:c r="A549" t="s">
        <x:v>606</x:v>
      </x:c>
      <x:c r="B549" t="s">
        <x:v>38</x:v>
      </x:c>
      <x:c r="C549" t="s">
        <x:v>20</x:v>
      </x:c>
      <x:c r="D549" t="s">
        <x:v>53</x:v>
      </x:c>
      <x:c r="E549" t="s">
        <x:v>40</x:v>
      </x:c>
      <x:c r="F549">
        <x:v>31</x:v>
      </x:c>
      <x:c r="G549">
        <x:v>1094.5</x:v>
      </x:c>
      <x:c r="H549" t="s">
        <x:v>64</x:v>
      </x:c>
      <x:c r="I549" t="s">
        <x:v>59</x:v>
      </x:c>
      <x:c r="J549" s="1">
        <x:v>44889</x:v>
      </x:c>
      <x:c r="K549" t="s">
        <x:v>27</x:v>
      </x:c>
      <x:c r="M549"/>
      <x:c r="N549">
        <x:v>1</x:v>
      </x:c>
      <x:c r="O549">
        <x:v>6</x:v>
      </x:c>
      <x:c r="P549">
        <x:v>49</x:v>
      </x:c>
      <x:c r="Q549" t="s">
        <x:v>27</x:v>
      </x:c>
      <x:c r="R549" t="n">
        <x:f>IF(subscriptions[[#This Row],[churned]]="Yes",1,0)</x:f>
        <x:v>0</x:v>
      </x:c>
      <x:c r="S549" s="11" t="str">
        <x:f>IF(K549="Yes",(L549-J549)/30.4375,"")</x:f>
      </x:c>
      <x:c r="T549" t="str">
        <x:f>IF(AND(K549="No",P549&lt;40,O549&lt;=4),"High Risk","")</x:f>
      </x:c>
    </x:row>
    <x:row r="550">
      <x:c r="A550" t="s">
        <x:v>607</x:v>
      </x:c>
      <x:c r="B550" t="s">
        <x:v>33</x:v>
      </x:c>
      <x:c r="C550" t="s">
        <x:v>29</x:v>
      </x:c>
      <x:c r="D550" t="s">
        <x:v>72</x:v>
      </x:c>
      <x:c r="E550" t="s">
        <x:v>40</x:v>
      </x:c>
      <x:c r="F550">
        <x:v>30</x:v>
      </x:c>
      <x:c r="G550">
        <x:v>131.88</x:v>
      </x:c>
      <x:c r="H550" t="s">
        <x:v>36</x:v>
      </x:c>
      <x:c r="I550" t="s">
        <x:v>24</x:v>
      </x:c>
      <x:c r="J550" s="1">
        <x:v>44640</x:v>
      </x:c>
      <x:c r="K550" t="s">
        <x:v>25</x:v>
      </x:c>
      <x:c r="L550" s="1">
        <x:v>44656</x:v>
      </x:c>
      <x:c r="M550" t="s">
        <x:v>60</x:v>
      </x:c>
      <x:c r="N550">
        <x:v>7</x:v>
      </x:c>
      <x:c r="O550">
        <x:v>1</x:v>
      </x:c>
      <x:c r="P550">
        <x:v>28</x:v>
      </x:c>
      <x:c r="Q550" t="s">
        <x:v>27</x:v>
      </x:c>
      <x:c r="R550" t="n">
        <x:f>IF(subscriptions[[#This Row],[churned]]="Yes",1,0)</x:f>
        <x:v>1</x:v>
      </x:c>
      <x:c r="S550" s="11" t="n">
        <x:f>IF(K550="Yes",(L550-J550)/30.4375,"")</x:f>
        <x:v>0.5256673511293635</x:v>
      </x:c>
      <x:c r="T550" t="str">
        <x:f>IF(AND(K550="No",P550&lt;40,O550&lt;=4),"High Risk","")</x:f>
      </x:c>
    </x:row>
    <x:row r="551">
      <x:c r="A551" t="s">
        <x:v>608</x:v>
      </x:c>
      <x:c r="B551" t="s">
        <x:v>33</x:v>
      </x:c>
      <x:c r="C551" t="s">
        <x:v>20</x:v>
      </x:c>
      <x:c r="D551" t="s">
        <x:v>45</x:v>
      </x:c>
      <x:c r="E551" t="s">
        <x:v>40</x:v>
      </x:c>
      <x:c r="F551">
        <x:v>31</x:v>
      </x:c>
      <x:c r="G551">
        <x:v>159.5</x:v>
      </x:c>
      <x:c r="H551" t="s">
        <x:v>23</x:v>
      </x:c>
      <x:c r="I551" t="s">
        <x:v>59</x:v>
      </x:c>
      <x:c r="J551" s="1">
        <x:v>45407</x:v>
      </x:c>
      <x:c r="K551" t="s">
        <x:v>25</x:v>
      </x:c>
      <x:c r="L551" s="1">
        <x:v>45537</x:v>
      </x:c>
      <x:c r="M551" t="s">
        <x:v>67</x:v>
      </x:c>
      <x:c r="N551">
        <x:v>1</x:v>
      </x:c>
      <x:c r="O551">
        <x:v>6</x:v>
      </x:c>
      <x:c r="P551">
        <x:v>33</x:v>
      </x:c>
      <x:c r="Q551" t="s">
        <x:v>27</x:v>
      </x:c>
      <x:c r="R551" t="n">
        <x:f>IF(subscriptions[[#This Row],[churned]]="Yes",1,0)</x:f>
        <x:v>1</x:v>
      </x:c>
      <x:c r="S551" s="11" t="n">
        <x:f>IF(K551="Yes",(L551-J551)/30.4375,"")</x:f>
        <x:v>4.271047227926078</x:v>
      </x:c>
      <x:c r="T551" t="str">
        <x:f>IF(AND(K551="No",P551&lt;40,O551&lt;=4),"High Risk","")</x:f>
      </x:c>
    </x:row>
    <x:row r="552">
      <x:c r="A552" t="s">
        <x:v>609</x:v>
      </x:c>
      <x:c r="B552" t="s">
        <x:v>19</x:v>
      </x:c>
      <x:c r="C552" t="s">
        <x:v>29</x:v>
      </x:c>
      <x:c r="D552" t="s">
        <x:v>83</x:v>
      </x:c>
      <x:c r="E552" t="s">
        <x:v>35</x:v>
      </x:c>
      <x:c r="F552">
        <x:v>187</x:v>
      </x:c>
      <x:c r="G552">
        <x:v>1940.63</x:v>
      </x:c>
      <x:c r="H552" t="s">
        <x:v>64</x:v>
      </x:c>
      <x:c r="I552" t="s">
        <x:v>24</x:v>
      </x:c>
      <x:c r="J552" s="1">
        <x:v>45938</x:v>
      </x:c>
      <x:c r="K552" t="s">
        <x:v>27</x:v>
      </x:c>
      <x:c r="M552"/>
      <x:c r="N552">
        <x:v>1</x:v>
      </x:c>
      <x:c r="O552">
        <x:v>3</x:v>
      </x:c>
      <x:c r="P552">
        <x:v>53</x:v>
      </x:c>
      <x:c r="Q552" t="s">
        <x:v>27</x:v>
      </x:c>
      <x:c r="R552" t="n">
        <x:f>IF(subscriptions[[#This Row],[churned]]="Yes",1,0)</x:f>
        <x:v>0</x:v>
      </x:c>
      <x:c r="S552" s="11" t="str">
        <x:f>IF(K552="Yes",(L552-J552)/30.4375,"")</x:f>
      </x:c>
      <x:c r="T552" t="str">
        <x:f>IF(AND(K552="No",P552&lt;40,O552&lt;=4),"High Risk","")</x:f>
      </x:c>
    </x:row>
    <x:row r="553">
      <x:c r="A553" t="s">
        <x:v>610</x:v>
      </x:c>
      <x:c r="B553" t="s">
        <x:v>33</x:v>
      </x:c>
      <x:c r="C553" t="s">
        <x:v>20</x:v>
      </x:c>
      <x:c r="D553" t="s">
        <x:v>66</x:v>
      </x:c>
      <x:c r="E553" t="s">
        <x:v>40</x:v>
      </x:c>
      <x:c r="F553">
        <x:v>9</x:v>
      </x:c>
      <x:c r="G553">
        <x:v>63.8</x:v>
      </x:c>
      <x:c r="H553" t="s">
        <x:v>30</x:v>
      </x:c>
      <x:c r="I553" t="s">
        <x:v>24</x:v>
      </x:c>
      <x:c r="J553" s="1">
        <x:v>45726</x:v>
      </x:c>
      <x:c r="K553" t="s">
        <x:v>27</x:v>
      </x:c>
      <x:c r="M553"/>
      <x:c r="N553">
        <x:v>9</x:v>
      </x:c>
      <x:c r="O553">
        <x:v>3</x:v>
      </x:c>
      <x:c r="P553">
        <x:v>22</x:v>
      </x:c>
      <x:c r="Q553" t="s">
        <x:v>27</x:v>
      </x:c>
      <x:c r="R553" t="n">
        <x:f>IF(subscriptions[[#This Row],[churned]]="Yes",1,0)</x:f>
        <x:v>0</x:v>
      </x:c>
      <x:c r="S553" s="11" t="str">
        <x:f>IF(K553="Yes",(L553-J553)/30.4375,"")</x:f>
      </x:c>
      <x:c r="T553" t="str">
        <x:f>IF(AND(K553="No",P553&lt;40,O553&lt;=4),"High Risk","")</x:f>
        <x:v>High Risk</x:v>
      </x:c>
    </x:row>
    <x:row r="554">
      <x:c r="A554" t="s">
        <x:v>611</x:v>
      </x:c>
      <x:c r="B554" t="s">
        <x:v>33</x:v>
      </x:c>
      <x:c r="C554" t="s">
        <x:v>29</x:v>
      </x:c>
      <x:c r="D554" t="s">
        <x:v>45</x:v>
      </x:c>
      <x:c r="E554" t="s">
        <x:v>49</x:v>
      </x:c>
      <x:c r="F554">
        <x:v>135</x:v>
      </x:c>
      <x:c r="G554">
        <x:v>520.12</x:v>
      </x:c>
      <x:c r="H554" t="s">
        <x:v>102</x:v>
      </x:c>
      <x:c r="I554" t="s">
        <x:v>59</x:v>
      </x:c>
      <x:c r="J554" s="1">
        <x:v>45566</x:v>
      </x:c>
      <x:c r="K554" t="s">
        <x:v>27</x:v>
      </x:c>
      <x:c r="M554"/>
      <x:c r="N554">
        <x:v>10</x:v>
      </x:c>
      <x:c r="O554">
        <x:v>4</x:v>
      </x:c>
      <x:c r="P554">
        <x:v>86</x:v>
      </x:c>
      <x:c r="Q554" t="s">
        <x:v>27</x:v>
      </x:c>
      <x:c r="R554" t="n">
        <x:f>IF(subscriptions[[#This Row],[churned]]="Yes",1,0)</x:f>
        <x:v>0</x:v>
      </x:c>
      <x:c r="S554" s="11" t="str">
        <x:f>IF(K554="Yes",(L554-J554)/30.4375,"")</x:f>
      </x:c>
      <x:c r="T554" t="str">
        <x:f>IF(AND(K554="No",P554&lt;40,O554&lt;=4),"High Risk","")</x:f>
      </x:c>
    </x:row>
    <x:row r="555">
      <x:c r="A555" t="s">
        <x:v>612</x:v>
      </x:c>
      <x:c r="B555" t="s">
        <x:v>33</x:v>
      </x:c>
      <x:c r="C555" t="s">
        <x:v>29</x:v>
      </x:c>
      <x:c r="D555" t="s">
        <x:v>43</x:v>
      </x:c>
      <x:c r="E555" t="s">
        <x:v>22</x:v>
      </x:c>
      <x:c r="F555">
        <x:v>39</x:v>
      </x:c>
      <x:c r="G555">
        <x:v>165.16</x:v>
      </x:c>
      <x:c r="H555" t="s">
        <x:v>64</x:v>
      </x:c>
      <x:c r="I555" t="s">
        <x:v>24</x:v>
      </x:c>
      <x:c r="J555" s="1">
        <x:v>44609</x:v>
      </x:c>
      <x:c r="K555" t="s">
        <x:v>25</x:v>
      </x:c>
      <x:c r="L555" s="1">
        <x:v>44814</x:v>
      </x:c>
      <x:c r="M555" t="s">
        <x:v>60</x:v>
      </x:c>
      <x:c r="N555">
        <x:v>8</x:v>
      </x:c>
      <x:c r="O555">
        <x:v>6</x:v>
      </x:c>
      <x:c r="P555">
        <x:v>18</x:v>
      </x:c>
      <x:c r="Q555" t="s">
        <x:v>27</x:v>
      </x:c>
      <x:c r="R555" t="n">
        <x:f>IF(subscriptions[[#This Row],[churned]]="Yes",1,0)</x:f>
        <x:v>1</x:v>
      </x:c>
      <x:c r="S555" s="11" t="n">
        <x:f>IF(K555="Yes",(L555-J555)/30.4375,"")</x:f>
        <x:v>6.7351129363449695</x:v>
      </x:c>
      <x:c r="T555" t="str">
        <x:f>IF(AND(K555="No",P555&lt;40,O555&lt;=4),"High Risk","")</x:f>
      </x:c>
    </x:row>
    <x:row r="556">
      <x:c r="A556" t="s">
        <x:v>613</x:v>
      </x:c>
      <x:c r="B556" t="s">
        <x:v>38</x:v>
      </x:c>
      <x:c r="C556" t="s">
        <x:v>29</x:v>
      </x:c>
      <x:c r="D556" t="s">
        <x:v>21</x:v>
      </x:c>
      <x:c r="E556" t="s">
        <x:v>40</x:v>
      </x:c>
      <x:c r="F556">
        <x:v>29</x:v>
      </x:c>
      <x:c r="G556">
        <x:v>879.58</x:v>
      </x:c>
      <x:c r="H556" t="s">
        <x:v>47</x:v>
      </x:c>
      <x:c r="I556" t="s">
        <x:v>24</x:v>
      </x:c>
      <x:c r="J556" s="1">
        <x:v>44770</x:v>
      </x:c>
      <x:c r="K556" t="s">
        <x:v>27</x:v>
      </x:c>
      <x:c r="M556"/>
      <x:c r="N556">
        <x:v>2</x:v>
      </x:c>
      <x:c r="O556">
        <x:v>5</x:v>
      </x:c>
      <x:c r="P556">
        <x:v>71</x:v>
      </x:c>
      <x:c r="Q556" t="s">
        <x:v>27</x:v>
      </x:c>
      <x:c r="R556" t="n">
        <x:f>IF(subscriptions[[#This Row],[churned]]="Yes",1,0)</x:f>
        <x:v>0</x:v>
      </x:c>
      <x:c r="S556" s="11" t="str">
        <x:f>IF(K556="Yes",(L556-J556)/30.4375,"")</x:f>
      </x:c>
      <x:c r="T556" t="str">
        <x:f>IF(AND(K556="No",P556&lt;40,O556&lt;=4),"High Risk","")</x:f>
      </x:c>
    </x:row>
    <x:row r="557">
      <x:c r="A557" t="s">
        <x:v>614</x:v>
      </x:c>
      <x:c r="B557" t="s">
        <x:v>38</x:v>
      </x:c>
      <x:c r="C557" t="s">
        <x:v>20</x:v>
      </x:c>
      <x:c r="D557" t="s">
        <x:v>83</x:v>
      </x:c>
      <x:c r="E557" t="s">
        <x:v>35</x:v>
      </x:c>
      <x:c r="F557">
        <x:v>182</x:v>
      </x:c>
      <x:c r="G557">
        <x:v>5601.85</x:v>
      </x:c>
      <x:c r="H557" t="s">
        <x:v>64</x:v>
      </x:c>
      <x:c r="I557" t="s">
        <x:v>73</x:v>
      </x:c>
      <x:c r="J557" s="1">
        <x:v>45863</x:v>
      </x:c>
      <x:c r="K557" t="s">
        <x:v>25</x:v>
      </x:c>
      <x:c r="L557" s="1">
        <x:v>45866</x:v>
      </x:c>
      <x:c r="M557" t="s">
        <x:v>60</x:v>
      </x:c>
      <x:c r="N557">
        <x:v>4</x:v>
      </x:c>
      <x:c r="O557">
        <x:v>1</x:v>
      </x:c>
      <x:c r="P557">
        <x:v>21</x:v>
      </x:c>
      <x:c r="Q557" t="s">
        <x:v>27</x:v>
      </x:c>
      <x:c r="R557" t="n">
        <x:f>IF(subscriptions[[#This Row],[churned]]="Yes",1,0)</x:f>
        <x:v>1</x:v>
      </x:c>
      <x:c r="S557" s="11" t="n">
        <x:f>IF(K557="Yes",(L557-J557)/30.4375,"")</x:f>
        <x:v>0.09856262833675565</x:v>
      </x:c>
      <x:c r="T557" t="str">
        <x:f>IF(AND(K557="No",P557&lt;40,O557&lt;=4),"High Risk","")</x:f>
      </x:c>
    </x:row>
    <x:row r="558">
      <x:c r="A558" t="s">
        <x:v>615</x:v>
      </x:c>
      <x:c r="B558" t="s">
        <x:v>33</x:v>
      </x:c>
      <x:c r="C558" t="s">
        <x:v>20</x:v>
      </x:c>
      <x:c r="D558" t="s">
        <x:v>34</x:v>
      </x:c>
      <x:c r="E558" t="s">
        <x:v>49</x:v>
      </x:c>
      <x:c r="F558">
        <x:v>82</x:v>
      </x:c>
      <x:c r="G558">
        <x:v>381.35</x:v>
      </x:c>
      <x:c r="H558" t="s">
        <x:v>47</x:v>
      </x:c>
      <x:c r="I558" t="s">
        <x:v>24</x:v>
      </x:c>
      <x:c r="J558" s="1">
        <x:v>45941</x:v>
      </x:c>
      <x:c r="K558" t="s">
        <x:v>27</x:v>
      </x:c>
      <x:c r="M558"/>
      <x:c r="N558">
        <x:v>1</x:v>
      </x:c>
      <x:c r="O558">
        <x:v>6</x:v>
      </x:c>
      <x:c r="P558">
        <x:v>33</x:v>
      </x:c>
      <x:c r="Q558" t="s">
        <x:v>27</x:v>
      </x:c>
      <x:c r="R558" t="n">
        <x:f>IF(subscriptions[[#This Row],[churned]]="Yes",1,0)</x:f>
        <x:v>0</x:v>
      </x:c>
      <x:c r="S558" s="11" t="str">
        <x:f>IF(K558="Yes",(L558-J558)/30.4375,"")</x:f>
      </x:c>
      <x:c r="T558" t="str">
        <x:f>IF(AND(K558="No",P558&lt;40,O558&lt;=4),"High Risk","")</x:f>
      </x:c>
    </x:row>
    <x:row r="559">
      <x:c r="A559" t="s">
        <x:v>616</x:v>
      </x:c>
      <x:c r="B559" t="s">
        <x:v>38</x:v>
      </x:c>
      <x:c r="C559" t="s">
        <x:v>20</x:v>
      </x:c>
      <x:c r="D559" t="s">
        <x:v>66</x:v>
      </x:c>
      <x:c r="E559" t="s">
        <x:v>49</x:v>
      </x:c>
      <x:c r="F559">
        <x:v>74</x:v>
      </x:c>
      <x:c r="G559">
        <x:v>2378.0500000000002</x:v>
      </x:c>
      <x:c r="H559" t="s">
        <x:v>23</x:v>
      </x:c>
      <x:c r="I559" t="s">
        <x:v>41</x:v>
      </x:c>
      <x:c r="J559" s="1">
        <x:v>45772</x:v>
      </x:c>
      <x:c r="K559" t="s">
        <x:v>27</x:v>
      </x:c>
      <x:c r="M559"/>
      <x:c r="N559">
        <x:v>0</x:v>
      </x:c>
      <x:c r="O559">
        <x:v>9</x:v>
      </x:c>
      <x:c r="P559">
        <x:v>71</x:v>
      </x:c>
      <x:c r="Q559" t="s">
        <x:v>25</x:v>
      </x:c>
      <x:c r="R559" t="n">
        <x:f>IF(subscriptions[[#This Row],[churned]]="Yes",1,0)</x:f>
        <x:v>0</x:v>
      </x:c>
      <x:c r="S559" s="11" t="str">
        <x:f>IF(K559="Yes",(L559-J559)/30.4375,"")</x:f>
      </x:c>
      <x:c r="T559" t="str">
        <x:f>IF(AND(K559="No",P559&lt;40,O559&lt;=4),"High Risk","")</x:f>
      </x:c>
    </x:row>
    <x:row r="560">
      <x:c r="A560" t="s">
        <x:v>617</x:v>
      </x:c>
      <x:c r="B560" t="s">
        <x:v>19</x:v>
      </x:c>
      <x:c r="C560" t="s">
        <x:v>29</x:v>
      </x:c>
      <x:c r="D560" t="s">
        <x:v>56</x:v>
      </x:c>
      <x:c r="E560" t="s">
        <x:v>40</x:v>
      </x:c>
      <x:c r="F560">
        <x:v>30</x:v>
      </x:c>
      <x:c r="G560">
        <x:v>359.25</x:v>
      </x:c>
      <x:c r="H560" t="s">
        <x:v>36</x:v>
      </x:c>
      <x:c r="I560" t="s">
        <x:v>24</x:v>
      </x:c>
      <x:c r="J560" s="1">
        <x:v>44892</x:v>
      </x:c>
      <x:c r="K560" t="s">
        <x:v>25</x:v>
      </x:c>
      <x:c r="L560" s="1">
        <x:v>45180</x:v>
      </x:c>
      <x:c r="M560" t="s">
        <x:v>57</x:v>
      </x:c>
      <x:c r="N560">
        <x:v>11</x:v>
      </x:c>
      <x:c r="O560">
        <x:v>1</x:v>
      </x:c>
      <x:c r="P560">
        <x:v>26</x:v>
      </x:c>
      <x:c r="Q560" t="s">
        <x:v>27</x:v>
      </x:c>
      <x:c r="R560" t="n">
        <x:f>IF(subscriptions[[#This Row],[churned]]="Yes",1,0)</x:f>
        <x:v>1</x:v>
      </x:c>
      <x:c r="S560" s="11" t="n">
        <x:f>IF(K560="Yes",(L560-J560)/30.4375,"")</x:f>
        <x:v>9.462012320328542</x:v>
      </x:c>
      <x:c r="T560" t="str">
        <x:f>IF(AND(K560="No",P560&lt;40,O560&lt;=4),"High Risk","")</x:f>
      </x:c>
    </x:row>
    <x:row r="561">
      <x:c r="A561" t="s">
        <x:v>618</x:v>
      </x:c>
      <x:c r="B561" t="s">
        <x:v>33</x:v>
      </x:c>
      <x:c r="C561" t="s">
        <x:v>20</x:v>
      </x:c>
      <x:c r="D561" t="s">
        <x:v>72</x:v>
      </x:c>
      <x:c r="E561" t="s">
        <x:v>40</x:v>
      </x:c>
      <x:c r="F561">
        <x:v>6</x:v>
      </x:c>
      <x:c r="G561">
        <x:v>50.75</x:v>
      </x:c>
      <x:c r="H561" t="s">
        <x:v>23</x:v>
      </x:c>
      <x:c r="I561" t="s">
        <x:v>59</x:v>
      </x:c>
      <x:c r="J561" s="1">
        <x:v>45516</x:v>
      </x:c>
      <x:c r="K561" t="s">
        <x:v>25</x:v>
      </x:c>
      <x:c r="L561" s="1">
        <x:v>45832</x:v>
      </x:c>
      <x:c r="M561" t="s">
        <x:v>26</x:v>
      </x:c>
      <x:c r="N561">
        <x:v>9</x:v>
      </x:c>
      <x:c r="O561">
        <x:v>1</x:v>
      </x:c>
      <x:c r="P561">
        <x:v>45</x:v>
      </x:c>
      <x:c r="Q561" t="s">
        <x:v>27</x:v>
      </x:c>
      <x:c r="R561" t="n">
        <x:f>IF(subscriptions[[#This Row],[churned]]="Yes",1,0)</x:f>
        <x:v>1</x:v>
      </x:c>
      <x:c r="S561" s="11" t="n">
        <x:f>IF(K561="Yes",(L561-J561)/30.4375,"")</x:f>
        <x:v>10.381930184804927</x:v>
      </x:c>
      <x:c r="T561" t="str">
        <x:f>IF(AND(K561="No",P561&lt;40,O561&lt;=4),"High Risk","")</x:f>
      </x:c>
    </x:row>
    <x:row r="562">
      <x:c r="A562" t="s">
        <x:v>619</x:v>
      </x:c>
      <x:c r="B562" t="s">
        <x:v>75</x:v>
      </x:c>
      <x:c r="C562" t="s">
        <x:v>20</x:v>
      </x:c>
      <x:c r="D562" t="s">
        <x:v>72</x:v>
      </x:c>
      <x:c r="E562" t="s">
        <x:v>40</x:v>
      </x:c>
      <x:c r="F562">
        <x:v>17</x:v>
      </x:c>
      <x:c r="G562">
        <x:v>1696.6</x:v>
      </x:c>
      <x:c r="H562" t="s">
        <x:v>23</x:v>
      </x:c>
      <x:c r="I562" t="s">
        <x:v>59</x:v>
      </x:c>
      <x:c r="J562" s="1">
        <x:v>45128</x:v>
      </x:c>
      <x:c r="K562" t="s">
        <x:v>27</x:v>
      </x:c>
      <x:c r="M562"/>
      <x:c r="N562">
        <x:v>9</x:v>
      </x:c>
      <x:c r="O562">
        <x:v>3</x:v>
      </x:c>
      <x:c r="P562">
        <x:v>41</x:v>
      </x:c>
      <x:c r="Q562" t="s">
        <x:v>27</x:v>
      </x:c>
      <x:c r="R562" t="n">
        <x:f>IF(subscriptions[[#This Row],[churned]]="Yes",1,0)</x:f>
        <x:v>0</x:v>
      </x:c>
      <x:c r="S562" s="11" t="str">
        <x:f>IF(K562="Yes",(L562-J562)/30.4375,"")</x:f>
      </x:c>
      <x:c r="T562" t="str">
        <x:f>IF(AND(K562="No",P562&lt;40,O562&lt;=4),"High Risk","")</x:f>
      </x:c>
    </x:row>
    <x:row r="563">
      <x:c r="A563" t="s">
        <x:v>620</x:v>
      </x:c>
      <x:c r="B563" t="s">
        <x:v>38</x:v>
      </x:c>
      <x:c r="C563" t="s">
        <x:v>20</x:v>
      </x:c>
      <x:c r="D563" t="s">
        <x:v>56</x:v>
      </x:c>
      <x:c r="E563" t="s">
        <x:v>22</x:v>
      </x:c>
      <x:c r="F563">
        <x:v>30</x:v>
      </x:c>
      <x:c r="G563">
        <x:v>1064.6500000000001</x:v>
      </x:c>
      <x:c r="H563" t="s">
        <x:v>47</x:v>
      </x:c>
      <x:c r="I563" t="s">
        <x:v>24</x:v>
      </x:c>
      <x:c r="J563" s="1">
        <x:v>45942</x:v>
      </x:c>
      <x:c r="K563" t="s">
        <x:v>27</x:v>
      </x:c>
      <x:c r="M563"/>
      <x:c r="N563">
        <x:v>6</x:v>
      </x:c>
      <x:c r="O563">
        <x:v>10</x:v>
      </x:c>
      <x:c r="P563">
        <x:v>17</x:v>
      </x:c>
      <x:c r="Q563" t="s">
        <x:v>27</x:v>
      </x:c>
      <x:c r="R563" t="n">
        <x:f>IF(subscriptions[[#This Row],[churned]]="Yes",1,0)</x:f>
        <x:v>0</x:v>
      </x:c>
      <x:c r="S563" s="11" t="str">
        <x:f>IF(K563="Yes",(L563-J563)/30.4375,"")</x:f>
      </x:c>
      <x:c r="T563" t="str">
        <x:f>IF(AND(K563="No",P563&lt;40,O563&lt;=4),"High Risk","")</x:f>
      </x:c>
    </x:row>
    <x:row r="564">
      <x:c r="A564" t="s">
        <x:v>621</x:v>
      </x:c>
      <x:c r="B564" t="s">
        <x:v>33</x:v>
      </x:c>
      <x:c r="C564" t="s">
        <x:v>20</x:v>
      </x:c>
      <x:c r="D564" t="s">
        <x:v>45</x:v>
      </x:c>
      <x:c r="E564" t="s">
        <x:v>46</x:v>
      </x:c>
      <x:c r="F564">
        <x:v>8</x:v>
      </x:c>
      <x:c r="G564">
        <x:v>59.45</x:v>
      </x:c>
      <x:c r="H564" t="s">
        <x:v>23</x:v>
      </x:c>
      <x:c r="I564" t="s">
        <x:v>59</x:v>
      </x:c>
      <x:c r="J564" s="1">
        <x:v>45605</x:v>
      </x:c>
      <x:c r="K564" t="s">
        <x:v>25</x:v>
      </x:c>
      <x:c r="L564" s="1">
        <x:v>45791</x:v>
      </x:c>
      <x:c r="M564" t="s">
        <x:v>54</x:v>
      </x:c>
      <x:c r="N564">
        <x:v>3</x:v>
      </x:c>
      <x:c r="O564">
        <x:v>5</x:v>
      </x:c>
      <x:c r="P564">
        <x:v>27</x:v>
      </x:c>
      <x:c r="Q564" t="s">
        <x:v>27</x:v>
      </x:c>
      <x:c r="R564" t="n">
        <x:f>IF(subscriptions[[#This Row],[churned]]="Yes",1,0)</x:f>
        <x:v>1</x:v>
      </x:c>
      <x:c r="S564" s="11" t="n">
        <x:f>IF(K564="Yes",(L564-J564)/30.4375,"")</x:f>
        <x:v>6.11088295687885</x:v>
      </x:c>
      <x:c r="T564" t="str">
        <x:f>IF(AND(K564="No",P564&lt;40,O564&lt;=4),"High Risk","")</x:f>
      </x:c>
    </x:row>
    <x:row r="565">
      <x:c r="A565" t="s">
        <x:v>622</x:v>
      </x:c>
      <x:c r="B565" t="s">
        <x:v>19</x:v>
      </x:c>
      <x:c r="C565" t="s">
        <x:v>20</x:v>
      </x:c>
      <x:c r="D565" t="s">
        <x:v>45</x:v>
      </x:c>
      <x:c r="E565" t="s">
        <x:v>46</x:v>
      </x:c>
      <x:c r="F565">
        <x:v>8</x:v>
      </x:c>
      <x:c r="G565">
        <x:v>161.94999999999999</x:v>
      </x:c>
      <x:c r="H565" t="s">
        <x:v>64</x:v>
      </x:c>
      <x:c r="I565" t="s">
        <x:v>41</x:v>
      </x:c>
      <x:c r="J565" s="1">
        <x:v>45733</x:v>
      </x:c>
      <x:c r="K565" t="s">
        <x:v>27</x:v>
      </x:c>
      <x:c r="M565"/>
      <x:c r="N565">
        <x:v>10</x:v>
      </x:c>
      <x:c r="O565">
        <x:v>10</x:v>
      </x:c>
      <x:c r="P565">
        <x:v>78</x:v>
      </x:c>
      <x:c r="Q565" t="s">
        <x:v>27</x:v>
      </x:c>
      <x:c r="R565" t="n">
        <x:f>IF(subscriptions[[#This Row],[churned]]="Yes",1,0)</x:f>
        <x:v>0</x:v>
      </x:c>
      <x:c r="S565" s="11" t="str">
        <x:f>IF(K565="Yes",(L565-J565)/30.4375,"")</x:f>
      </x:c>
      <x:c r="T565" t="str">
        <x:f>IF(AND(K565="No",P565&lt;40,O565&lt;=4),"High Risk","")</x:f>
      </x:c>
    </x:row>
    <x:row r="566">
      <x:c r="A566" t="s">
        <x:v>623</x:v>
      </x:c>
      <x:c r="B566" t="s">
        <x:v>38</x:v>
      </x:c>
      <x:c r="C566" t="s">
        <x:v>20</x:v>
      </x:c>
      <x:c r="D566" t="s">
        <x:v>43</x:v>
      </x:c>
      <x:c r="E566" t="s">
        <x:v>46</x:v>
      </x:c>
      <x:c r="F566">
        <x:v>6</x:v>
      </x:c>
      <x:c r="G566">
        <x:v>348.25</x:v>
      </x:c>
      <x:c r="H566" t="s">
        <x:v>47</x:v>
      </x:c>
      <x:c r="I566" t="s">
        <x:v>59</x:v>
      </x:c>
      <x:c r="J566" s="1">
        <x:v>45226</x:v>
      </x:c>
      <x:c r="K566" t="s">
        <x:v>25</x:v>
      </x:c>
      <x:c r="L566" s="1">
        <x:v>45963</x:v>
      </x:c>
      <x:c r="M566" t="s">
        <x:v>26</x:v>
      </x:c>
      <x:c r="N566">
        <x:v>10</x:v>
      </x:c>
      <x:c r="O566">
        <x:v>1</x:v>
      </x:c>
      <x:c r="P566">
        <x:v>19</x:v>
      </x:c>
      <x:c r="Q566" t="s">
        <x:v>27</x:v>
      </x:c>
      <x:c r="R566" t="n">
        <x:f>IF(subscriptions[[#This Row],[churned]]="Yes",1,0)</x:f>
        <x:v>1</x:v>
      </x:c>
      <x:c r="S566" s="11" t="n">
        <x:f>IF(K566="Yes",(L566-J566)/30.4375,"")</x:f>
        <x:v>24.213552361396303</x:v>
      </x:c>
      <x:c r="T566" t="str">
        <x:f>IF(AND(K566="No",P566&lt;40,O566&lt;=4),"High Risk","")</x:f>
      </x:c>
    </x:row>
    <x:row r="567">
      <x:c r="A567" t="s">
        <x:v>624</x:v>
      </x:c>
      <x:c r="B567" t="s">
        <x:v>19</x:v>
      </x:c>
      <x:c r="C567" t="s">
        <x:v>20</x:v>
      </x:c>
      <x:c r="D567" t="s">
        <x:v>39</x:v>
      </x:c>
      <x:c r="E567" t="s">
        <x:v>46</x:v>
      </x:c>
      <x:c r="F567">
        <x:v>8</x:v>
      </x:c>
      <x:c r="G567">
        <x:v>161.94999999999999</x:v>
      </x:c>
      <x:c r="H567" t="s">
        <x:v>23</x:v>
      </x:c>
      <x:c r="I567" t="s">
        <x:v>41</x:v>
      </x:c>
      <x:c r="J567" s="1">
        <x:v>44797</x:v>
      </x:c>
      <x:c r="K567" t="s">
        <x:v>25</x:v>
      </x:c>
      <x:c r="L567" s="1">
        <x:v>44827</x:v>
      </x:c>
      <x:c r="M567" t="s">
        <x:v>57</x:v>
      </x:c>
      <x:c r="N567">
        <x:v>1</x:v>
      </x:c>
      <x:c r="O567">
        <x:v>3</x:v>
      </x:c>
      <x:c r="P567">
        <x:v>15</x:v>
      </x:c>
      <x:c r="Q567" t="s">
        <x:v>27</x:v>
      </x:c>
      <x:c r="R567" t="n">
        <x:f>IF(subscriptions[[#This Row],[churned]]="Yes",1,0)</x:f>
        <x:v>1</x:v>
      </x:c>
      <x:c r="S567" s="11" t="n">
        <x:f>IF(K567="Yes",(L567-J567)/30.4375,"")</x:f>
        <x:v>0.9856262833675564</x:v>
      </x:c>
      <x:c r="T567" t="str">
        <x:f>IF(AND(K567="No",P567&lt;40,O567&lt;=4),"High Risk","")</x:f>
      </x:c>
    </x:row>
    <x:row r="568">
      <x:c r="A568" t="s">
        <x:v>625</x:v>
      </x:c>
      <x:c r="B568" t="s">
        <x:v>33</x:v>
      </x:c>
      <x:c r="C568" t="s">
        <x:v>29</x:v>
      </x:c>
      <x:c r="D568" t="s">
        <x:v>43</x:v>
      </x:c>
      <x:c r="E568" t="s">
        <x:v>40</x:v>
      </x:c>
      <x:c r="F568">
        <x:v>27</x:v>
      </x:c>
      <x:c r="G568">
        <x:v>120.78</x:v>
      </x:c>
      <x:c r="H568" t="s">
        <x:v>30</x:v>
      </x:c>
      <x:c r="I568" t="s">
        <x:v>41</x:v>
      </x:c>
      <x:c r="J568" s="1">
        <x:v>45465</x:v>
      </x:c>
      <x:c r="K568" t="s">
        <x:v>25</x:v>
      </x:c>
      <x:c r="L568" s="1">
        <x:v>45522</x:v>
      </x:c>
      <x:c r="M568" t="s">
        <x:v>57</x:v>
      </x:c>
      <x:c r="N568">
        <x:v>10</x:v>
      </x:c>
      <x:c r="O568">
        <x:v>4</x:v>
      </x:c>
      <x:c r="P568">
        <x:v>11</x:v>
      </x:c>
      <x:c r="Q568" t="s">
        <x:v>27</x:v>
      </x:c>
      <x:c r="R568" t="n">
        <x:f>IF(subscriptions[[#This Row],[churned]]="Yes",1,0)</x:f>
        <x:v>1</x:v>
      </x:c>
      <x:c r="S568" s="11" t="n">
        <x:f>IF(K568="Yes",(L568-J568)/30.4375,"")</x:f>
        <x:v>1.8726899383983573</x:v>
      </x:c>
      <x:c r="T568" t="str">
        <x:f>IF(AND(K568="No",P568&lt;40,O568&lt;=4),"High Risk","")</x:f>
      </x:c>
    </x:row>
    <x:row r="569">
      <x:c r="A569" t="s">
        <x:v>626</x:v>
      </x:c>
      <x:c r="B569" t="s">
        <x:v>33</x:v>
      </x:c>
      <x:c r="C569" t="s">
        <x:v>29</x:v>
      </x:c>
      <x:c r="D569" t="s">
        <x:v>66</x:v>
      </x:c>
      <x:c r="E569" t="s">
        <x:v>22</x:v>
      </x:c>
      <x:c r="F569">
        <x:v>50</x:v>
      </x:c>
      <x:c r="G569">
        <x:v>205.83</x:v>
      </x:c>
      <x:c r="H569" t="s">
        <x:v>47</x:v>
      </x:c>
      <x:c r="I569" t="s">
        <x:v>24</x:v>
      </x:c>
      <x:c r="J569" s="1">
        <x:v>45802</x:v>
      </x:c>
      <x:c r="K569" t="s">
        <x:v>27</x:v>
      </x:c>
      <x:c r="M569"/>
      <x:c r="N569">
        <x:v>5</x:v>
      </x:c>
      <x:c r="O569">
        <x:v>8</x:v>
      </x:c>
      <x:c r="P569">
        <x:v>66</x:v>
      </x:c>
      <x:c r="Q569" t="s">
        <x:v>27</x:v>
      </x:c>
      <x:c r="R569" t="n">
        <x:f>IF(subscriptions[[#This Row],[churned]]="Yes",1,0)</x:f>
        <x:v>0</x:v>
      </x:c>
      <x:c r="S569" s="11" t="str">
        <x:f>IF(K569="Yes",(L569-J569)/30.4375,"")</x:f>
      </x:c>
      <x:c r="T569" t="str">
        <x:f>IF(AND(K569="No",P569&lt;40,O569&lt;=4),"High Risk","")</x:f>
      </x:c>
    </x:row>
    <x:row r="570">
      <x:c r="A570" t="s">
        <x:v>627</x:v>
      </x:c>
      <x:c r="B570" t="s">
        <x:v>19</x:v>
      </x:c>
      <x:c r="C570" t="s">
        <x:v>20</x:v>
      </x:c>
      <x:c r="D570" t="s">
        <x:v>56</x:v>
      </x:c>
      <x:c r="E570" t="s">
        <x:v>40</x:v>
      </x:c>
      <x:c r="F570">
        <x:v>13</x:v>
      </x:c>
      <x:c r="G570">
        <x:v>221.2</x:v>
      </x:c>
      <x:c r="H570" t="s">
        <x:v>23</x:v>
      </x:c>
      <x:c r="I570" t="s">
        <x:v>41</x:v>
      </x:c>
      <x:c r="J570" s="1">
        <x:v>45808</x:v>
      </x:c>
      <x:c r="K570" t="s">
        <x:v>27</x:v>
      </x:c>
      <x:c r="M570"/>
      <x:c r="N570">
        <x:v>5</x:v>
      </x:c>
      <x:c r="O570">
        <x:v>5</x:v>
      </x:c>
      <x:c r="P570">
        <x:v>53</x:v>
      </x:c>
      <x:c r="Q570" t="s">
        <x:v>27</x:v>
      </x:c>
      <x:c r="R570" t="n">
        <x:f>IF(subscriptions[[#This Row],[churned]]="Yes",1,0)</x:f>
        <x:v>0</x:v>
      </x:c>
      <x:c r="S570" s="11" t="str">
        <x:f>IF(K570="Yes",(L570-J570)/30.4375,"")</x:f>
      </x:c>
      <x:c r="T570" t="str">
        <x:f>IF(AND(K570="No",P570&lt;40,O570&lt;=4),"High Risk","")</x:f>
      </x:c>
    </x:row>
    <x:row r="571">
      <x:c r="A571" t="s">
        <x:v>628</x:v>
      </x:c>
      <x:c r="B571" t="s">
        <x:v>38</x:v>
      </x:c>
      <x:c r="C571" t="s">
        <x:v>29</x:v>
      </x:c>
      <x:c r="D571" t="s">
        <x:v>45</x:v>
      </x:c>
      <x:c r="E571" t="s">
        <x:v>40</x:v>
      </x:c>
      <x:c r="F571">
        <x:v>23</x:v>
      </x:c>
      <x:c r="G571">
        <x:v>727.34</x:v>
      </x:c>
      <x:c r="H571" t="s">
        <x:v>23</x:v>
      </x:c>
      <x:c r="I571" t="s">
        <x:v>24</x:v>
      </x:c>
      <x:c r="J571" s="1">
        <x:v>45419</x:v>
      </x:c>
      <x:c r="K571" t="s">
        <x:v>27</x:v>
      </x:c>
      <x:c r="M571"/>
      <x:c r="N571">
        <x:v>2</x:v>
      </x:c>
      <x:c r="O571">
        <x:v>5</x:v>
      </x:c>
      <x:c r="P571">
        <x:v>19</x:v>
      </x:c>
      <x:c r="Q571" t="s">
        <x:v>27</x:v>
      </x:c>
      <x:c r="R571" t="n">
        <x:f>IF(subscriptions[[#This Row],[churned]]="Yes",1,0)</x:f>
        <x:v>0</x:v>
      </x:c>
      <x:c r="S571" s="11" t="str">
        <x:f>IF(K571="Yes",(L571-J571)/30.4375,"")</x:f>
      </x:c>
      <x:c r="T571" t="str">
        <x:f>IF(AND(K571="No",P571&lt;40,O571&lt;=4),"High Risk","")</x:f>
      </x:c>
    </x:row>
    <x:row r="572">
      <x:c r="A572" t="s">
        <x:v>629</x:v>
      </x:c>
      <x:c r="B572" t="s">
        <x:v>33</x:v>
      </x:c>
      <x:c r="C572" t="s">
        <x:v>20</x:v>
      </x:c>
      <x:c r="D572" t="s">
        <x:v>72</x:v>
      </x:c>
      <x:c r="E572" t="s">
        <x:v>46</x:v>
      </x:c>
      <x:c r="F572">
        <x:v>2</x:v>
      </x:c>
      <x:c r="G572">
        <x:v>33.35</x:v>
      </x:c>
      <x:c r="H572" t="s">
        <x:v>47</x:v>
      </x:c>
      <x:c r="I572" t="s">
        <x:v>24</x:v>
      </x:c>
      <x:c r="J572" s="1">
        <x:v>44598</x:v>
      </x:c>
      <x:c r="K572" t="s">
        <x:v>25</x:v>
      </x:c>
      <x:c r="L572" s="1">
        <x:v>44606</x:v>
      </x:c>
      <x:c r="M572" t="s">
        <x:v>54</x:v>
      </x:c>
      <x:c r="N572">
        <x:v>15</x:v>
      </x:c>
      <x:c r="O572">
        <x:v>1</x:v>
      </x:c>
      <x:c r="P572">
        <x:v>15</x:v>
      </x:c>
      <x:c r="Q572" t="s">
        <x:v>27</x:v>
      </x:c>
      <x:c r="R572" t="n">
        <x:f>IF(subscriptions[[#This Row],[churned]]="Yes",1,0)</x:f>
        <x:v>1</x:v>
      </x:c>
      <x:c r="S572" s="11" t="n">
        <x:f>IF(K572="Yes",(L572-J572)/30.4375,"")</x:f>
        <x:v>0.26283367556468173</x:v>
      </x:c>
      <x:c r="T572" t="str">
        <x:f>IF(AND(K572="No",P572&lt;40,O572&lt;=4),"High Risk","")</x:f>
      </x:c>
    </x:row>
    <x:row r="573">
      <x:c r="A573" t="s">
        <x:v>630</x:v>
      </x:c>
      <x:c r="B573" t="s">
        <x:v>33</x:v>
      </x:c>
      <x:c r="C573" t="s">
        <x:v>20</x:v>
      </x:c>
      <x:c r="D573" t="s">
        <x:v>43</x:v>
      </x:c>
      <x:c r="E573" t="s">
        <x:v>46</x:v>
      </x:c>
      <x:c r="F573">
        <x:v>3</x:v>
      </x:c>
      <x:c r="G573">
        <x:v>37.700000000000003</x:v>
      </x:c>
      <x:c r="H573" t="s">
        <x:v>102</x:v>
      </x:c>
      <x:c r="I573" t="s">
        <x:v>59</x:v>
      </x:c>
      <x:c r="J573" s="1">
        <x:v>44873</x:v>
      </x:c>
      <x:c r="K573" t="s">
        <x:v>25</x:v>
      </x:c>
      <x:c r="L573" s="1">
        <x:v>45154</x:v>
      </x:c>
      <x:c r="M573" t="s">
        <x:v>54</x:v>
      </x:c>
      <x:c r="N573">
        <x:v>6</x:v>
      </x:c>
      <x:c r="O573">
        <x:v>5</x:v>
      </x:c>
      <x:c r="P573">
        <x:v>33</x:v>
      </x:c>
      <x:c r="Q573" t="s">
        <x:v>27</x:v>
      </x:c>
      <x:c r="R573" t="n">
        <x:f>IF(subscriptions[[#This Row],[churned]]="Yes",1,0)</x:f>
        <x:v>1</x:v>
      </x:c>
      <x:c r="S573" s="11" t="n">
        <x:f>IF(K573="Yes",(L573-J573)/30.4375,"")</x:f>
        <x:v>9.232032854209445</x:v>
      </x:c>
      <x:c r="T573" t="str">
        <x:f>IF(AND(K573="No",P573&lt;40,O573&lt;=4),"High Risk","")</x:f>
      </x:c>
    </x:row>
    <x:row r="574">
      <x:c r="A574" t="s">
        <x:v>631</x:v>
      </x:c>
      <x:c r="B574" t="s">
        <x:v>19</x:v>
      </x:c>
      <x:c r="C574" t="s">
        <x:v>29</x:v>
      </x:c>
      <x:c r="D574" t="s">
        <x:v>83</x:v>
      </x:c>
      <x:c r="E574" t="s">
        <x:v>22</x:v>
      </x:c>
      <x:c r="F574">
        <x:v>34</x:v>
      </x:c>
      <x:c r="G574">
        <x:v>399.54</x:v>
      </x:c>
      <x:c r="H574" t="s">
        <x:v>36</x:v>
      </x:c>
      <x:c r="I574" t="s">
        <x:v>59</x:v>
      </x:c>
      <x:c r="J574" s="1">
        <x:v>44789</x:v>
      </x:c>
      <x:c r="K574" t="s">
        <x:v>27</x:v>
      </x:c>
      <x:c r="M574"/>
      <x:c r="N574">
        <x:v>6</x:v>
      </x:c>
      <x:c r="O574">
        <x:v>5</x:v>
      </x:c>
      <x:c r="P574">
        <x:v>39</x:v>
      </x:c>
      <x:c r="Q574" t="s">
        <x:v>27</x:v>
      </x:c>
      <x:c r="R574" t="n">
        <x:f>IF(subscriptions[[#This Row],[churned]]="Yes",1,0)</x:f>
        <x:v>0</x:v>
      </x:c>
      <x:c r="S574" s="11" t="str">
        <x:f>IF(K574="Yes",(L574-J574)/30.4375,"")</x:f>
      </x:c>
      <x:c r="T574" t="str">
        <x:f>IF(AND(K574="No",P574&lt;40,O574&lt;=4),"High Risk","")</x:f>
      </x:c>
    </x:row>
    <x:row r="575">
      <x:c r="A575" t="s">
        <x:v>632</x:v>
      </x:c>
      <x:c r="B575" t="s">
        <x:v>75</x:v>
      </x:c>
      <x:c r="C575" t="s">
        <x:v>20</x:v>
      </x:c>
      <x:c r="D575" t="s">
        <x:v>66</x:v>
      </x:c>
      <x:c r="E575" t="s">
        <x:v>22</x:v>
      </x:c>
      <x:c r="F575">
        <x:v>78</x:v>
      </x:c>
      <x:c r="G575">
        <x:v>6262.45</x:v>
      </x:c>
      <x:c r="H575" t="s">
        <x:v>64</x:v>
      </x:c>
      <x:c r="I575" t="s">
        <x:v>24</x:v>
      </x:c>
      <x:c r="J575" s="1">
        <x:v>45204</x:v>
      </x:c>
      <x:c r="K575" t="s">
        <x:v>27</x:v>
      </x:c>
      <x:c r="M575"/>
      <x:c r="N575">
        <x:v>1</x:v>
      </x:c>
      <x:c r="O575">
        <x:v>9</x:v>
      </x:c>
      <x:c r="P575">
        <x:v>50</x:v>
      </x:c>
      <x:c r="Q575" t="s">
        <x:v>25</x:v>
      </x:c>
      <x:c r="R575" t="n">
        <x:f>IF(subscriptions[[#This Row],[churned]]="Yes",1,0)</x:f>
        <x:v>0</x:v>
      </x:c>
      <x:c r="S575" s="11" t="str">
        <x:f>IF(K575="Yes",(L575-J575)/30.4375,"")</x:f>
      </x:c>
      <x:c r="T575" t="str">
        <x:f>IF(AND(K575="No",P575&lt;40,O575&lt;=4),"High Risk","")</x:f>
      </x:c>
    </x:row>
    <x:row r="576">
      <x:c r="A576" t="s">
        <x:v>633</x:v>
      </x:c>
      <x:c r="B576" t="s">
        <x:v>38</x:v>
      </x:c>
      <x:c r="C576" t="s">
        <x:v>29</x:v>
      </x:c>
      <x:c r="D576" t="s">
        <x:v>83</x:v>
      </x:c>
      <x:c r="E576" t="s">
        <x:v>22</x:v>
      </x:c>
      <x:c r="F576">
        <x:v>38</x:v>
      </x:c>
      <x:c r="G576">
        <x:v>1107.93</x:v>
      </x:c>
      <x:c r="H576" t="s">
        <x:v>47</x:v>
      </x:c>
      <x:c r="I576" t="s">
        <x:v>24</x:v>
      </x:c>
      <x:c r="J576" s="1">
        <x:v>45970</x:v>
      </x:c>
      <x:c r="K576" t="s">
        <x:v>27</x:v>
      </x:c>
      <x:c r="M576"/>
      <x:c r="N576">
        <x:v>11</x:v>
      </x:c>
      <x:c r="O576">
        <x:v>8</x:v>
      </x:c>
      <x:c r="P576">
        <x:v>26</x:v>
      </x:c>
      <x:c r="Q576" t="s">
        <x:v>27</x:v>
      </x:c>
      <x:c r="R576" t="n">
        <x:f>IF(subscriptions[[#This Row],[churned]]="Yes",1,0)</x:f>
        <x:v>0</x:v>
      </x:c>
      <x:c r="S576" s="11" t="str">
        <x:f>IF(K576="Yes",(L576-J576)/30.4375,"")</x:f>
      </x:c>
      <x:c r="T576" t="str">
        <x:f>IF(AND(K576="No",P576&lt;40,O576&lt;=4),"High Risk","")</x:f>
      </x:c>
    </x:row>
    <x:row r="577">
      <x:c r="A577" t="s">
        <x:v>634</x:v>
      </x:c>
      <x:c r="B577" t="s">
        <x:v>33</x:v>
      </x:c>
      <x:c r="C577" t="s">
        <x:v>29</x:v>
      </x:c>
      <x:c r="D577" t="s">
        <x:v>43</x:v>
      </x:c>
      <x:c r="E577" t="s">
        <x:v>46</x:v>
      </x:c>
      <x:c r="F577">
        <x:v>4</x:v>
      </x:c>
      <x:c r="G577">
        <x:v>35.74</x:v>
      </x:c>
      <x:c r="H577" t="s">
        <x:v>36</x:v>
      </x:c>
      <x:c r="I577" t="s">
        <x:v>24</x:v>
      </x:c>
      <x:c r="J577" s="1">
        <x:v>45438</x:v>
      </x:c>
      <x:c r="K577" t="s">
        <x:v>25</x:v>
      </x:c>
      <x:c r="L577" s="1">
        <x:v>45457</x:v>
      </x:c>
      <x:c r="M577" t="s">
        <x:v>26</x:v>
      </x:c>
      <x:c r="N577">
        <x:v>1</x:v>
      </x:c>
      <x:c r="O577">
        <x:v>5</x:v>
      </x:c>
      <x:c r="P577">
        <x:v>35</x:v>
      </x:c>
      <x:c r="Q577" t="s">
        <x:v>27</x:v>
      </x:c>
      <x:c r="R577" t="n">
        <x:f>IF(subscriptions[[#This Row],[churned]]="Yes",1,0)</x:f>
        <x:v>1</x:v>
      </x:c>
      <x:c r="S577" s="11" t="n">
        <x:f>IF(K577="Yes",(L577-J577)/30.4375,"")</x:f>
        <x:v>0.6242299794661191</x:v>
      </x:c>
      <x:c r="T577" t="str">
        <x:f>IF(AND(K577="No",P577&lt;40,O577&lt;=4),"High Risk","")</x:f>
      </x:c>
    </x:row>
    <x:row r="578">
      <x:c r="A578" t="s">
        <x:v>635</x:v>
      </x:c>
      <x:c r="B578" t="s">
        <x:v>33</x:v>
      </x:c>
      <x:c r="C578" t="s">
        <x:v>29</x:v>
      </x:c>
      <x:c r="D578" t="s">
        <x:v>34</x:v>
      </x:c>
      <x:c r="E578" t="s">
        <x:v>49</x:v>
      </x:c>
      <x:c r="F578">
        <x:v>123</x:v>
      </x:c>
      <x:c r="G578">
        <x:v>475.74</x:v>
      </x:c>
      <x:c r="H578" t="s">
        <x:v>64</x:v>
      </x:c>
      <x:c r="I578" t="s">
        <x:v>24</x:v>
      </x:c>
      <x:c r="J578" s="1">
        <x:v>44791</x:v>
      </x:c>
      <x:c r="K578" t="s">
        <x:v>25</x:v>
      </x:c>
      <x:c r="L578" s="1">
        <x:v>45168</x:v>
      </x:c>
      <x:c r="M578" t="s">
        <x:v>26</x:v>
      </x:c>
      <x:c r="N578">
        <x:v>5</x:v>
      </x:c>
      <x:c r="O578">
        <x:v>3</x:v>
      </x:c>
      <x:c r="P578">
        <x:v>22</x:v>
      </x:c>
      <x:c r="Q578" t="s">
        <x:v>27</x:v>
      </x:c>
      <x:c r="R578" t="n">
        <x:f>IF(subscriptions[[#This Row],[churned]]="Yes",1,0)</x:f>
        <x:v>1</x:v>
      </x:c>
      <x:c r="S578" s="11" t="n">
        <x:f>IF(K578="Yes",(L578-J578)/30.4375,"")</x:f>
        <x:v>12.386036960985626</x:v>
      </x:c>
      <x:c r="T578" t="str">
        <x:f>IF(AND(K578="No",P578&lt;40,O578&lt;=4),"High Risk","")</x:f>
      </x:c>
    </x:row>
    <x:row r="579">
      <x:c r="A579" t="s">
        <x:v>636</x:v>
      </x:c>
      <x:c r="B579" t="s">
        <x:v>19</x:v>
      </x:c>
      <x:c r="C579" t="s">
        <x:v>20</x:v>
      </x:c>
      <x:c r="D579" t="s">
        <x:v>66</x:v>
      </x:c>
      <x:c r="E579" t="s">
        <x:v>35</x:v>
      </x:c>
      <x:c r="F579">
        <x:v>74</x:v>
      </x:c>
      <x:c r="G579">
        <x:v>944.05</x:v>
      </x:c>
      <x:c r="H579" t="s">
        <x:v>23</x:v>
      </x:c>
      <x:c r="I579" t="s">
        <x:v>24</x:v>
      </x:c>
      <x:c r="J579" s="1">
        <x:v>45359</x:v>
      </x:c>
      <x:c r="K579" t="s">
        <x:v>25</x:v>
      </x:c>
      <x:c r="L579" s="1">
        <x:v>45956</x:v>
      </x:c>
      <x:c r="M579" t="s">
        <x:v>86</x:v>
      </x:c>
      <x:c r="N579">
        <x:v>9</x:v>
      </x:c>
      <x:c r="O579">
        <x:v>3</x:v>
      </x:c>
      <x:c r="P579">
        <x:v>38</x:v>
      </x:c>
      <x:c r="Q579" t="s">
        <x:v>27</x:v>
      </x:c>
      <x:c r="R579" t="n">
        <x:f>IF(subscriptions[[#This Row],[churned]]="Yes",1,0)</x:f>
        <x:v>1</x:v>
      </x:c>
      <x:c r="S579" s="11" t="n">
        <x:f>IF(K579="Yes",(L579-J579)/30.4375,"")</x:f>
        <x:v>19.613963039014372</x:v>
      </x:c>
      <x:c r="T579" t="str">
        <x:f>IF(AND(K579="No",P579&lt;40,O579&lt;=4),"High Risk","")</x:f>
      </x:c>
    </x:row>
    <x:row r="580">
      <x:c r="A580" t="s">
        <x:v>637</x:v>
      </x:c>
      <x:c r="B580" t="s">
        <x:v>19</x:v>
      </x:c>
      <x:c r="C580" t="s">
        <x:v>20</x:v>
      </x:c>
      <x:c r="D580" t="s">
        <x:v>34</x:v>
      </x:c>
      <x:c r="E580" t="s">
        <x:v>40</x:v>
      </x:c>
      <x:c r="F580">
        <x:v>9</x:v>
      </x:c>
      <x:c r="G580">
        <x:v>173.8</x:v>
      </x:c>
      <x:c r="H580" t="s">
        <x:v>30</x:v>
      </x:c>
      <x:c r="I580" t="s">
        <x:v>24</x:v>
      </x:c>
      <x:c r="J580" s="1">
        <x:v>45922</x:v>
      </x:c>
      <x:c r="K580" t="s">
        <x:v>27</x:v>
      </x:c>
      <x:c r="M580"/>
      <x:c r="N580">
        <x:v>8</x:v>
      </x:c>
      <x:c r="O580">
        <x:v>8</x:v>
      </x:c>
      <x:c r="P580">
        <x:v>74</x:v>
      </x:c>
      <x:c r="Q580" t="s">
        <x:v>27</x:v>
      </x:c>
      <x:c r="R580" t="n">
        <x:f>IF(subscriptions[[#This Row],[churned]]="Yes",1,0)</x:f>
        <x:v>0</x:v>
      </x:c>
      <x:c r="S580" s="11" t="str">
        <x:f>IF(K580="Yes",(L580-J580)/30.4375,"")</x:f>
      </x:c>
      <x:c r="T580" t="str">
        <x:f>IF(AND(K580="No",P580&lt;40,O580&lt;=4),"High Risk","")</x:f>
      </x:c>
    </x:row>
    <x:row r="581">
      <x:c r="A581" t="s">
        <x:v>638</x:v>
      </x:c>
      <x:c r="B581" t="s">
        <x:v>19</x:v>
      </x:c>
      <x:c r="C581" t="s">
        <x:v>20</x:v>
      </x:c>
      <x:c r="D581" t="s">
        <x:v>66</x:v>
      </x:c>
      <x:c r="E581" t="s">
        <x:v>49</x:v>
      </x:c>
      <x:c r="F581">
        <x:v>33</x:v>
      </x:c>
      <x:c r="G581">
        <x:v>458.2</x:v>
      </x:c>
      <x:c r="H581" t="s">
        <x:v>47</x:v>
      </x:c>
      <x:c r="I581" t="s">
        <x:v>24</x:v>
      </x:c>
      <x:c r="J581" s="1">
        <x:v>45371</x:v>
      </x:c>
      <x:c r="K581" t="s">
        <x:v>25</x:v>
      </x:c>
      <x:c r="L581" s="1">
        <x:v>45565</x:v>
      </x:c>
      <x:c r="M581" t="s">
        <x:v>26</x:v>
      </x:c>
      <x:c r="N581">
        <x:v>13</x:v>
      </x:c>
      <x:c r="O581">
        <x:v>2</x:v>
      </x:c>
      <x:c r="P581">
        <x:v>39</x:v>
      </x:c>
      <x:c r="Q581" t="s">
        <x:v>27</x:v>
      </x:c>
      <x:c r="R581" t="n">
        <x:f>IF(subscriptions[[#This Row],[churned]]="Yes",1,0)</x:f>
        <x:v>1</x:v>
      </x:c>
      <x:c r="S581" s="11" t="n">
        <x:f>IF(K581="Yes",(L581-J581)/30.4375,"")</x:f>
        <x:v>6.373716632443532</x:v>
      </x:c>
      <x:c r="T581" t="str">
        <x:f>IF(AND(K581="No",P581&lt;40,O581&lt;=4),"High Risk","")</x:f>
      </x:c>
    </x:row>
    <x:row r="582">
      <x:c r="A582" t="s">
        <x:v>639</x:v>
      </x:c>
      <x:c r="B582" t="s">
        <x:v>38</x:v>
      </x:c>
      <x:c r="C582" t="s">
        <x:v>20</x:v>
      </x:c>
      <x:c r="D582" t="s">
        <x:v>45</x:v>
      </x:c>
      <x:c r="E582" t="s">
        <x:v>49</x:v>
      </x:c>
      <x:c r="F582">
        <x:v>105</x:v>
      </x:c>
      <x:c r="G582">
        <x:v>3303.4</x:v>
      </x:c>
      <x:c r="H582" t="s">
        <x:v>30</x:v>
      </x:c>
      <x:c r="I582" t="s">
        <x:v>59</x:v>
      </x:c>
      <x:c r="J582" s="1">
        <x:v>45606</x:v>
      </x:c>
      <x:c r="K582" t="s">
        <x:v>27</x:v>
      </x:c>
      <x:c r="M582"/>
      <x:c r="N582">
        <x:v>0</x:v>
      </x:c>
      <x:c r="O582">
        <x:v>8</x:v>
      </x:c>
      <x:c r="P582">
        <x:v>75</x:v>
      </x:c>
      <x:c r="Q582" t="s">
        <x:v>25</x:v>
      </x:c>
      <x:c r="R582" t="n">
        <x:f>IF(subscriptions[[#This Row],[churned]]="Yes",1,0)</x:f>
        <x:v>0</x:v>
      </x:c>
      <x:c r="S582" s="11" t="str">
        <x:f>IF(K582="Yes",(L582-J582)/30.4375,"")</x:f>
      </x:c>
      <x:c r="T582" t="str">
        <x:f>IF(AND(K582="No",P582&lt;40,O582&lt;=4),"High Risk","")</x:f>
      </x:c>
    </x:row>
    <x:row r="583">
      <x:c r="A583" t="s">
        <x:v>640</x:v>
      </x:c>
      <x:c r="B583" t="s">
        <x:v>19</x:v>
      </x:c>
      <x:c r="C583" t="s">
        <x:v>20</x:v>
      </x:c>
      <x:c r="D583" t="s">
        <x:v>83</x:v>
      </x:c>
      <x:c r="E583" t="s">
        <x:v>40</x:v>
      </x:c>
      <x:c r="F583">
        <x:v>35</x:v>
      </x:c>
      <x:c r="G583">
        <x:v>481.9</x:v>
      </x:c>
      <x:c r="H583" t="s">
        <x:v>36</x:v>
      </x:c>
      <x:c r="I583" t="s">
        <x:v>24</x:v>
      </x:c>
      <x:c r="J583" s="1">
        <x:v>45249</x:v>
      </x:c>
      <x:c r="K583" t="s">
        <x:v>25</x:v>
      </x:c>
      <x:c r="L583" s="1">
        <x:v>45854</x:v>
      </x:c>
      <x:c r="M583" t="s">
        <x:v>50</x:v>
      </x:c>
      <x:c r="N583">
        <x:v>0</x:v>
      </x:c>
      <x:c r="O583">
        <x:v>2</x:v>
      </x:c>
      <x:c r="P583">
        <x:v>32</x:v>
      </x:c>
      <x:c r="Q583" t="s">
        <x:v>27</x:v>
      </x:c>
      <x:c r="R583" t="n">
        <x:f>IF(subscriptions[[#This Row],[churned]]="Yes",1,0)</x:f>
        <x:v>1</x:v>
      </x:c>
      <x:c r="S583" s="11" t="n">
        <x:f>IF(K583="Yes",(L583-J583)/30.4375,"")</x:f>
        <x:v>19.876796714579054</x:v>
      </x:c>
      <x:c r="T583" t="str">
        <x:f>IF(AND(K583="No",P583&lt;40,O583&lt;=4),"High Risk","")</x:f>
      </x:c>
    </x:row>
    <x:row r="584">
      <x:c r="A584" t="s">
        <x:v>641</x:v>
      </x:c>
      <x:c r="B584" t="s">
        <x:v>19</x:v>
      </x:c>
      <x:c r="C584" t="s">
        <x:v>20</x:v>
      </x:c>
      <x:c r="D584" t="s">
        <x:v>34</x:v>
      </x:c>
      <x:c r="E584" t="s">
        <x:v>46</x:v>
      </x:c>
      <x:c r="F584">
        <x:v>4</x:v>
      </x:c>
      <x:c r="G584">
        <x:v>114.55</x:v>
      </x:c>
      <x:c r="H584" t="s">
        <x:v>102</x:v>
      </x:c>
      <x:c r="I584" t="s">
        <x:v>24</x:v>
      </x:c>
      <x:c r="J584" s="1">
        <x:v>45825</x:v>
      </x:c>
      <x:c r="K584" t="s">
        <x:v>25</x:v>
      </x:c>
      <x:c r="L584" s="1">
        <x:v>45827</x:v>
      </x:c>
      <x:c r="M584" t="s">
        <x:v>26</x:v>
      </x:c>
      <x:c r="N584">
        <x:v>3</x:v>
      </x:c>
      <x:c r="O584">
        <x:v>5</x:v>
      </x:c>
      <x:c r="P584">
        <x:v>50</x:v>
      </x:c>
      <x:c r="Q584" t="s">
        <x:v>27</x:v>
      </x:c>
      <x:c r="R584" t="n">
        <x:f>IF(subscriptions[[#This Row],[churned]]="Yes",1,0)</x:f>
        <x:v>1</x:v>
      </x:c>
      <x:c r="S584" s="11" t="n">
        <x:f>IF(K584="Yes",(L584-J584)/30.4375,"")</x:f>
        <x:v>0.06570841889117043</x:v>
      </x:c>
      <x:c r="T584" t="str">
        <x:f>IF(AND(K584="No",P584&lt;40,O584&lt;=4),"High Risk","")</x:f>
      </x:c>
    </x:row>
    <x:row r="585">
      <x:c r="A585" t="s">
        <x:v>642</x:v>
      </x:c>
      <x:c r="B585" t="s">
        <x:v>38</x:v>
      </x:c>
      <x:c r="C585" t="s">
        <x:v>20</x:v>
      </x:c>
      <x:c r="D585" t="s">
        <x:v>53</x:v>
      </x:c>
      <x:c r="E585" t="s">
        <x:v>40</x:v>
      </x:c>
      <x:c r="F585">
        <x:v>18</x:v>
      </x:c>
      <x:c r="G585">
        <x:v>706.45</x:v>
      </x:c>
      <x:c r="H585" t="s">
        <x:v>23</x:v>
      </x:c>
      <x:c r="I585" t="s">
        <x:v>24</x:v>
      </x:c>
      <x:c r="J585" s="1">
        <x:v>45956</x:v>
      </x:c>
      <x:c r="K585" t="s">
        <x:v>27</x:v>
      </x:c>
      <x:c r="M585"/>
      <x:c r="N585">
        <x:v>0</x:v>
      </x:c>
      <x:c r="O585">
        <x:v>1</x:v>
      </x:c>
      <x:c r="P585">
        <x:v>37</x:v>
      </x:c>
      <x:c r="Q585" t="s">
        <x:v>27</x:v>
      </x:c>
      <x:c r="R585" t="n">
        <x:f>IF(subscriptions[[#This Row],[churned]]="Yes",1,0)</x:f>
        <x:v>0</x:v>
      </x:c>
      <x:c r="S585" s="11" t="str">
        <x:f>IF(K585="Yes",(L585-J585)/30.4375,"")</x:f>
      </x:c>
      <x:c r="T585" t="str">
        <x:f>IF(AND(K585="No",P585&lt;40,O585&lt;=4),"High Risk","")</x:f>
        <x:v>High Risk</x:v>
      </x:c>
    </x:row>
    <x:row r="586">
      <x:c r="A586" t="s">
        <x:v>643</x:v>
      </x:c>
      <x:c r="B586" t="s">
        <x:v>38</x:v>
      </x:c>
      <x:c r="C586" t="s">
        <x:v>20</x:v>
      </x:c>
      <x:c r="D586" t="s">
        <x:v>45</x:v>
      </x:c>
      <x:c r="E586" t="s">
        <x:v>40</x:v>
      </x:c>
      <x:c r="F586">
        <x:v>5</x:v>
      </x:c>
      <x:c r="G586">
        <x:v>318.39999999999998</x:v>
      </x:c>
      <x:c r="H586" t="s">
        <x:v>30</x:v>
      </x:c>
      <x:c r="I586" t="s">
        <x:v>24</x:v>
      </x:c>
      <x:c r="J586" s="1">
        <x:v>45246</x:v>
      </x:c>
      <x:c r="K586" t="s">
        <x:v>27</x:v>
      </x:c>
      <x:c r="M586"/>
      <x:c r="N586">
        <x:v>0</x:v>
      </x:c>
      <x:c r="O586">
        <x:v>4</x:v>
      </x:c>
      <x:c r="P586">
        <x:v>77</x:v>
      </x:c>
      <x:c r="Q586" t="s">
        <x:v>25</x:v>
      </x:c>
      <x:c r="R586" t="n">
        <x:f>IF(subscriptions[[#This Row],[churned]]="Yes",1,0)</x:f>
        <x:v>0</x:v>
      </x:c>
      <x:c r="S586" s="11" t="str">
        <x:f>IF(K586="Yes",(L586-J586)/30.4375,"")</x:f>
      </x:c>
      <x:c r="T586" t="str">
        <x:f>IF(AND(K586="No",P586&lt;40,O586&lt;=4),"High Risk","")</x:f>
      </x:c>
    </x:row>
    <x:row r="587">
      <x:c r="A587" t="s">
        <x:v>644</x:v>
      </x:c>
      <x:c r="B587" t="s">
        <x:v>33</x:v>
      </x:c>
      <x:c r="C587" t="s">
        <x:v>20</x:v>
      </x:c>
      <x:c r="D587" t="s">
        <x:v>56</x:v>
      </x:c>
      <x:c r="E587" t="s">
        <x:v>49</x:v>
      </x:c>
      <x:c r="F587">
        <x:v>116</x:v>
      </x:c>
      <x:c r="G587">
        <x:v>529.25</x:v>
      </x:c>
      <x:c r="H587" t="s">
        <x:v>64</x:v>
      </x:c>
      <x:c r="I587" t="s">
        <x:v>24</x:v>
      </x:c>
      <x:c r="J587" s="1">
        <x:v>45941</x:v>
      </x:c>
      <x:c r="K587" t="s">
        <x:v>27</x:v>
      </x:c>
      <x:c r="M587"/>
      <x:c r="N587">
        <x:v>6</x:v>
      </x:c>
      <x:c r="O587">
        <x:v>3</x:v>
      </x:c>
      <x:c r="P587">
        <x:v>68</x:v>
      </x:c>
      <x:c r="Q587" t="s">
        <x:v>27</x:v>
      </x:c>
      <x:c r="R587" t="n">
        <x:f>IF(subscriptions[[#This Row],[churned]]="Yes",1,0)</x:f>
        <x:v>0</x:v>
      </x:c>
      <x:c r="S587" s="11" t="str">
        <x:f>IF(K587="Yes",(L587-J587)/30.4375,"")</x:f>
      </x:c>
      <x:c r="T587" t="str">
        <x:f>IF(AND(K587="No",P587&lt;40,O587&lt;=4),"High Risk","")</x:f>
      </x:c>
    </x:row>
    <x:row r="588">
      <x:c r="A588" t="s">
        <x:v>645</x:v>
      </x:c>
      <x:c r="B588" t="s">
        <x:v>38</x:v>
      </x:c>
      <x:c r="C588" t="s">
        <x:v>20</x:v>
      </x:c>
      <x:c r="D588" t="s">
        <x:v>45</x:v>
      </x:c>
      <x:c r="E588" t="s">
        <x:v>46</x:v>
      </x:c>
      <x:c r="F588">
        <x:v>1</x:v>
      </x:c>
      <x:c r="G588">
        <x:v>199</x:v>
      </x:c>
      <x:c r="H588" t="s">
        <x:v>47</x:v>
      </x:c>
      <x:c r="I588" t="s">
        <x:v>73</x:v>
      </x:c>
      <x:c r="J588" s="1">
        <x:v>44808</x:v>
      </x:c>
      <x:c r="K588" t="s">
        <x:v>27</x:v>
      </x:c>
      <x:c r="M588"/>
      <x:c r="N588">
        <x:v>2</x:v>
      </x:c>
      <x:c r="O588">
        <x:v>6</x:v>
      </x:c>
      <x:c r="P588">
        <x:v>84</x:v>
      </x:c>
      <x:c r="Q588" t="s">
        <x:v>25</x:v>
      </x:c>
      <x:c r="R588" t="n">
        <x:f>IF(subscriptions[[#This Row],[churned]]="Yes",1,0)</x:f>
        <x:v>0</x:v>
      </x:c>
      <x:c r="S588" s="11" t="str">
        <x:f>IF(K588="Yes",(L588-J588)/30.4375,"")</x:f>
      </x:c>
      <x:c r="T588" t="str">
        <x:f>IF(AND(K588="No",P588&lt;40,O588&lt;=4),"High Risk","")</x:f>
      </x:c>
    </x:row>
    <x:row r="589">
      <x:c r="A589" t="s">
        <x:v>646</x:v>
      </x:c>
      <x:c r="B589" t="s">
        <x:v>38</x:v>
      </x:c>
      <x:c r="C589" t="s">
        <x:v>20</x:v>
      </x:c>
      <x:c r="D589" t="s">
        <x:v>21</x:v>
      </x:c>
      <x:c r="E589" t="s">
        <x:v>40</x:v>
      </x:c>
      <x:c r="F589">
        <x:v>33</x:v>
      </x:c>
      <x:c r="G589">
        <x:v>1154.2</x:v>
      </x:c>
      <x:c r="H589" t="s">
        <x:v>23</x:v>
      </x:c>
      <x:c r="I589" t="s">
        <x:v>73</x:v>
      </x:c>
      <x:c r="J589" s="1">
        <x:v>44943</x:v>
      </x:c>
      <x:c r="K589" t="s">
        <x:v>25</x:v>
      </x:c>
      <x:c r="L589" s="1">
        <x:v>45857</x:v>
      </x:c>
      <x:c r="M589" t="s">
        <x:v>54</x:v>
      </x:c>
      <x:c r="N589">
        <x:v>1</x:v>
      </x:c>
      <x:c r="O589">
        <x:v>3</x:v>
      </x:c>
      <x:c r="P589">
        <x:v>37</x:v>
      </x:c>
      <x:c r="Q589" t="s">
        <x:v>27</x:v>
      </x:c>
      <x:c r="R589" t="n">
        <x:f>IF(subscriptions[[#This Row],[churned]]="Yes",1,0)</x:f>
        <x:v>1</x:v>
      </x:c>
      <x:c r="S589" s="11" t="n">
        <x:f>IF(K589="Yes",(L589-J589)/30.4375,"")</x:f>
        <x:v>30.028747433264886</x:v>
      </x:c>
      <x:c r="T589" t="str">
        <x:f>IF(AND(K589="No",P589&lt;40,O589&lt;=4),"High Risk","")</x:f>
      </x:c>
    </x:row>
    <x:row r="590">
      <x:c r="A590" t="s">
        <x:v>647</x:v>
      </x:c>
      <x:c r="B590" t="s">
        <x:v>33</x:v>
      </x:c>
      <x:c r="C590" t="s">
        <x:v>29</x:v>
      </x:c>
      <x:c r="D590" t="s">
        <x:v>56</x:v>
      </x:c>
      <x:c r="E590" t="s">
        <x:v>46</x:v>
      </x:c>
      <x:c r="F590">
        <x:v>7</x:v>
      </x:c>
      <x:c r="G590">
        <x:v>46.83</x:v>
      </x:c>
      <x:c r="H590" t="s">
        <x:v>47</x:v>
      </x:c>
      <x:c r="I590" t="s">
        <x:v>73</x:v>
      </x:c>
      <x:c r="J590" s="1">
        <x:v>45251</x:v>
      </x:c>
      <x:c r="K590" t="s">
        <x:v>25</x:v>
      </x:c>
      <x:c r="L590" s="1">
        <x:v>45481</x:v>
      </x:c>
      <x:c r="M590" t="s">
        <x:v>57</x:v>
      </x:c>
      <x:c r="N590">
        <x:v>11</x:v>
      </x:c>
      <x:c r="O590">
        <x:v>1</x:v>
      </x:c>
      <x:c r="P590">
        <x:v>18</x:v>
      </x:c>
      <x:c r="Q590" t="s">
        <x:v>27</x:v>
      </x:c>
      <x:c r="R590" t="n">
        <x:f>IF(subscriptions[[#This Row],[churned]]="Yes",1,0)</x:f>
        <x:v>1</x:v>
      </x:c>
      <x:c r="S590" s="11" t="n">
        <x:f>IF(K590="Yes",(L590-J590)/30.4375,"")</x:f>
        <x:v>7.5564681724846</x:v>
      </x:c>
      <x:c r="T590" t="str">
        <x:f>IF(AND(K590="No",P590&lt;40,O590&lt;=4),"High Risk","")</x:f>
      </x:c>
    </x:row>
    <x:row r="591">
      <x:c r="A591" t="s">
        <x:v>648</x:v>
      </x:c>
      <x:c r="B591" t="s">
        <x:v>33</x:v>
      </x:c>
      <x:c r="C591" t="s">
        <x:v>20</x:v>
      </x:c>
      <x:c r="D591" t="s">
        <x:v>83</x:v>
      </x:c>
      <x:c r="E591" t="s">
        <x:v>40</x:v>
      </x:c>
      <x:c r="F591">
        <x:v>21</x:v>
      </x:c>
      <x:c r="G591">
        <x:v>116</x:v>
      </x:c>
      <x:c r="H591" t="s">
        <x:v>23</x:v>
      </x:c>
      <x:c r="I591" t="s">
        <x:v>73</x:v>
      </x:c>
      <x:c r="J591" s="1">
        <x:v>45189</x:v>
      </x:c>
      <x:c r="K591" t="s">
        <x:v>25</x:v>
      </x:c>
      <x:c r="L591" s="1">
        <x:v>45251</x:v>
      </x:c>
      <x:c r="M591" t="s">
        <x:v>67</x:v>
      </x:c>
      <x:c r="N591">
        <x:v>11</x:v>
      </x:c>
      <x:c r="O591">
        <x:v>3</x:v>
      </x:c>
      <x:c r="P591">
        <x:v>16</x:v>
      </x:c>
      <x:c r="Q591" t="s">
        <x:v>27</x:v>
      </x:c>
      <x:c r="R591" t="n">
        <x:f>IF(subscriptions[[#This Row],[churned]]="Yes",1,0)</x:f>
        <x:v>1</x:v>
      </x:c>
      <x:c r="S591" s="11" t="n">
        <x:f>IF(K591="Yes",(L591-J591)/30.4375,"")</x:f>
        <x:v>2.0369609856262834</x:v>
      </x:c>
      <x:c r="T591" t="str">
        <x:f>IF(AND(K591="No",P591&lt;40,O591&lt;=4),"High Risk","")</x:f>
      </x:c>
    </x:row>
    <x:row r="592">
      <x:c r="A592" t="s">
        <x:v>649</x:v>
      </x:c>
      <x:c r="B592" t="s">
        <x:v>38</x:v>
      </x:c>
      <x:c r="C592" t="s">
        <x:v>20</x:v>
      </x:c>
      <x:c r="D592" t="s">
        <x:v>45</x:v>
      </x:c>
      <x:c r="E592" t="s">
        <x:v>40</x:v>
      </x:c>
      <x:c r="F592">
        <x:v>6</x:v>
      </x:c>
      <x:c r="G592">
        <x:v>348.25</x:v>
      </x:c>
      <x:c r="H592" t="s">
        <x:v>23</x:v>
      </x:c>
      <x:c r="I592" t="s">
        <x:v>24</x:v>
      </x:c>
      <x:c r="J592" s="1">
        <x:v>45252</x:v>
      </x:c>
      <x:c r="K592" t="s">
        <x:v>27</x:v>
      </x:c>
      <x:c r="M592"/>
      <x:c r="N592">
        <x:v>1</x:v>
      </x:c>
      <x:c r="O592">
        <x:v>2</x:v>
      </x:c>
      <x:c r="P592">
        <x:v>27</x:v>
      </x:c>
      <x:c r="Q592" t="s">
        <x:v>25</x:v>
      </x:c>
      <x:c r="R592" t="n">
        <x:f>IF(subscriptions[[#This Row],[churned]]="Yes",1,0)</x:f>
        <x:v>0</x:v>
      </x:c>
      <x:c r="S592" s="11" t="str">
        <x:f>IF(K592="Yes",(L592-J592)/30.4375,"")</x:f>
      </x:c>
      <x:c r="T592" t="str">
        <x:f>IF(AND(K592="No",P592&lt;40,O592&lt;=4),"High Risk","")</x:f>
        <x:v>High Risk</x:v>
      </x:c>
    </x:row>
    <x:row r="593">
      <x:c r="A593" t="s">
        <x:v>650</x:v>
      </x:c>
      <x:c r="B593" t="s">
        <x:v>19</x:v>
      </x:c>
      <x:c r="C593" t="s">
        <x:v>20</x:v>
      </x:c>
      <x:c r="D593" t="s">
        <x:v>53</x:v>
      </x:c>
      <x:c r="E593" t="s">
        <x:v>40</x:v>
      </x:c>
      <x:c r="F593">
        <x:v>6</x:v>
      </x:c>
      <x:c r="G593">
        <x:v>138.25</x:v>
      </x:c>
      <x:c r="H593" t="s">
        <x:v>36</x:v>
      </x:c>
      <x:c r="I593" t="s">
        <x:v>41</x:v>
      </x:c>
      <x:c r="J593" s="1">
        <x:v>44836</x:v>
      </x:c>
      <x:c r="K593" t="s">
        <x:v>25</x:v>
      </x:c>
      <x:c r="L593" s="1">
        <x:v>45335</x:v>
      </x:c>
      <x:c r="M593" t="s">
        <x:v>50</x:v>
      </x:c>
      <x:c r="N593">
        <x:v>5</x:v>
      </x:c>
      <x:c r="O593">
        <x:v>3</x:v>
      </x:c>
      <x:c r="P593">
        <x:v>11</x:v>
      </x:c>
      <x:c r="Q593" t="s">
        <x:v>27</x:v>
      </x:c>
      <x:c r="R593" t="n">
        <x:f>IF(subscriptions[[#This Row],[churned]]="Yes",1,0)</x:f>
        <x:v>1</x:v>
      </x:c>
      <x:c r="S593" s="11" t="n">
        <x:f>IF(K593="Yes",(L593-J593)/30.4375,"")</x:f>
        <x:v>16.39425051334702</x:v>
      </x:c>
      <x:c r="T593" t="str">
        <x:f>IF(AND(K593="No",P593&lt;40,O593&lt;=4),"High Risk","")</x:f>
      </x:c>
    </x:row>
    <x:row r="594">
      <x:c r="A594" t="s">
        <x:v>651</x:v>
      </x:c>
      <x:c r="B594" t="s">
        <x:v>38</x:v>
      </x:c>
      <x:c r="C594" t="s">
        <x:v>20</x:v>
      </x:c>
      <x:c r="D594" t="s">
        <x:v>39</x:v>
      </x:c>
      <x:c r="E594" t="s">
        <x:v>22</x:v>
      </x:c>
      <x:c r="F594">
        <x:v>47</x:v>
      </x:c>
      <x:c r="G594">
        <x:v>1572.1</x:v>
      </x:c>
      <x:c r="H594" t="s">
        <x:v>23</x:v>
      </x:c>
      <x:c r="I594" t="s">
        <x:v>24</x:v>
      </x:c>
      <x:c r="J594" s="1">
        <x:v>44964</x:v>
      </x:c>
      <x:c r="K594" t="s">
        <x:v>27</x:v>
      </x:c>
      <x:c r="M594"/>
      <x:c r="N594">
        <x:v>1</x:v>
      </x:c>
      <x:c r="O594">
        <x:v>9</x:v>
      </x:c>
      <x:c r="P594">
        <x:v>27</x:v>
      </x:c>
      <x:c r="Q594" t="s">
        <x:v>27</x:v>
      </x:c>
      <x:c r="R594" t="n">
        <x:f>IF(subscriptions[[#This Row],[churned]]="Yes",1,0)</x:f>
        <x:v>0</x:v>
      </x:c>
      <x:c r="S594" s="11" t="str">
        <x:f>IF(K594="Yes",(L594-J594)/30.4375,"")</x:f>
      </x:c>
      <x:c r="T594" t="str">
        <x:f>IF(AND(K594="No",P594&lt;40,O594&lt;=4),"High Risk","")</x:f>
      </x:c>
    </x:row>
    <x:row r="595">
      <x:c r="A595" t="s">
        <x:v>652</x:v>
      </x:c>
      <x:c r="B595" t="s">
        <x:v>38</x:v>
      </x:c>
      <x:c r="C595" t="s">
        <x:v>29</x:v>
      </x:c>
      <x:c r="D595" t="s">
        <x:v>72</x:v>
      </x:c>
      <x:c r="E595" t="s">
        <x:v>22</x:v>
      </x:c>
      <x:c r="F595">
        <x:v>76</x:v>
      </x:c>
      <x:c r="G595">
        <x:v>2072.09</x:v>
      </x:c>
      <x:c r="H595" t="s">
        <x:v>23</x:v>
      </x:c>
      <x:c r="I595" t="s">
        <x:v>59</x:v>
      </x:c>
      <x:c r="J595" s="1">
        <x:v>44909</x:v>
      </x:c>
      <x:c r="K595" t="s">
        <x:v>25</x:v>
      </x:c>
      <x:c r="L595" s="1">
        <x:v>45026</x:v>
      </x:c>
      <x:c r="M595" t="s">
        <x:v>26</x:v>
      </x:c>
      <x:c r="N595">
        <x:v>4</x:v>
      </x:c>
      <x:c r="O595">
        <x:v>2</x:v>
      </x:c>
      <x:c r="P595">
        <x:v>35</x:v>
      </x:c>
      <x:c r="Q595" t="s">
        <x:v>27</x:v>
      </x:c>
      <x:c r="R595" t="n">
        <x:f>IF(subscriptions[[#This Row],[churned]]="Yes",1,0)</x:f>
        <x:v>1</x:v>
      </x:c>
      <x:c r="S595" s="11" t="n">
        <x:f>IF(K595="Yes",(L595-J595)/30.4375,"")</x:f>
        <x:v>3.8439425051334704</x:v>
      </x:c>
      <x:c r="T595" t="str">
        <x:f>IF(AND(K595="No",P595&lt;40,O595&lt;=4),"High Risk","")</x:f>
      </x:c>
    </x:row>
    <x:row r="596">
      <x:c r="A596" t="s">
        <x:v>653</x:v>
      </x:c>
      <x:c r="B596" t="s">
        <x:v>38</x:v>
      </x:c>
      <x:c r="C596" t="s">
        <x:v>20</x:v>
      </x:c>
      <x:c r="D596" t="s">
        <x:v>43</x:v>
      </x:c>
      <x:c r="E596" t="s">
        <x:v>40</x:v>
      </x:c>
      <x:c r="F596">
        <x:v>11</x:v>
      </x:c>
      <x:c r="G596">
        <x:v>497.5</x:v>
      </x:c>
      <x:c r="H596" t="s">
        <x:v>23</x:v>
      </x:c>
      <x:c r="I596" t="s">
        <x:v>41</x:v>
      </x:c>
      <x:c r="J596" s="1">
        <x:v>45027</x:v>
      </x:c>
      <x:c r="K596" t="s">
        <x:v>25</x:v>
      </x:c>
      <x:c r="L596" s="1">
        <x:v>45610</x:v>
      </x:c>
      <x:c r="M596" t="s">
        <x:v>86</x:v>
      </x:c>
      <x:c r="N596">
        <x:v>3</x:v>
      </x:c>
      <x:c r="O596">
        <x:v>3</x:v>
      </x:c>
      <x:c r="P596">
        <x:v>48</x:v>
      </x:c>
      <x:c r="Q596" t="s">
        <x:v>27</x:v>
      </x:c>
      <x:c r="R596" t="n">
        <x:f>IF(subscriptions[[#This Row],[churned]]="Yes",1,0)</x:f>
        <x:v>1</x:v>
      </x:c>
      <x:c r="S596" s="11" t="n">
        <x:f>IF(K596="Yes",(L596-J596)/30.4375,"")</x:f>
        <x:v>19.15400410677618</x:v>
      </x:c>
      <x:c r="T596" t="str">
        <x:f>IF(AND(K596="No",P596&lt;40,O596&lt;=4),"High Risk","")</x:f>
      </x:c>
    </x:row>
    <x:row r="597">
      <x:c r="A597" t="s">
        <x:v>654</x:v>
      </x:c>
      <x:c r="B597" t="s">
        <x:v>19</x:v>
      </x:c>
      <x:c r="C597" t="s">
        <x:v>29</x:v>
      </x:c>
      <x:c r="D597" t="s">
        <x:v>56</x:v>
      </x:c>
      <x:c r="E597" t="s">
        <x:v>40</x:v>
      </x:c>
      <x:c r="F597">
        <x:v>32</x:v>
      </x:c>
      <x:c r="G597">
        <x:v>379.4</x:v>
      </x:c>
      <x:c r="H597" t="s">
        <x:v>47</x:v>
      </x:c>
      <x:c r="I597" t="s">
        <x:v>24</x:v>
      </x:c>
      <x:c r="J597" s="1">
        <x:v>45631</x:v>
      </x:c>
      <x:c r="K597" t="s">
        <x:v>27</x:v>
      </x:c>
      <x:c r="M597"/>
      <x:c r="N597">
        <x:v>3</x:v>
      </x:c>
      <x:c r="O597">
        <x:v>6</x:v>
      </x:c>
      <x:c r="P597">
        <x:v>65</x:v>
      </x:c>
      <x:c r="Q597" t="s">
        <x:v>25</x:v>
      </x:c>
      <x:c r="R597" t="n">
        <x:f>IF(subscriptions[[#This Row],[churned]]="Yes",1,0)</x:f>
        <x:v>0</x:v>
      </x:c>
      <x:c r="S597" s="11" t="str">
        <x:f>IF(K597="Yes",(L597-J597)/30.4375,"")</x:f>
      </x:c>
      <x:c r="T597" t="str">
        <x:f>IF(AND(K597="No",P597&lt;40,O597&lt;=4),"High Risk","")</x:f>
      </x:c>
    </x:row>
    <x:row r="598">
      <x:c r="A598" t="s">
        <x:v>655</x:v>
      </x:c>
      <x:c r="B598" t="s">
        <x:v>19</x:v>
      </x:c>
      <x:c r="C598" t="s">
        <x:v>29</x:v>
      </x:c>
      <x:c r="D598" t="s">
        <x:v>45</x:v>
      </x:c>
      <x:c r="E598" t="s">
        <x:v>49</x:v>
      </x:c>
      <x:c r="F598">
        <x:v>106</x:v>
      </x:c>
      <x:c r="G598">
        <x:v>1124.76</x:v>
      </x:c>
      <x:c r="H598" t="s">
        <x:v>30</x:v>
      </x:c>
      <x:c r="I598" t="s">
        <x:v>41</x:v>
      </x:c>
      <x:c r="J598" s="1">
        <x:v>45102</x:v>
      </x:c>
      <x:c r="K598" t="s">
        <x:v>27</x:v>
      </x:c>
      <x:c r="M598"/>
      <x:c r="N598">
        <x:v>3</x:v>
      </x:c>
      <x:c r="O598">
        <x:v>3</x:v>
      </x:c>
      <x:c r="P598">
        <x:v>57</x:v>
      </x:c>
      <x:c r="Q598" t="s">
        <x:v>27</x:v>
      </x:c>
      <x:c r="R598" t="n">
        <x:f>IF(subscriptions[[#This Row],[churned]]="Yes",1,0)</x:f>
        <x:v>0</x:v>
      </x:c>
      <x:c r="S598" s="11" t="str">
        <x:f>IF(K598="Yes",(L598-J598)/30.4375,"")</x:f>
      </x:c>
      <x:c r="T598" t="str">
        <x:f>IF(AND(K598="No",P598&lt;40,O598&lt;=4),"High Risk","")</x:f>
      </x:c>
    </x:row>
    <x:row r="599">
      <x:c r="A599" t="s">
        <x:v>656</x:v>
      </x:c>
      <x:c r="B599" t="s">
        <x:v>33</x:v>
      </x:c>
      <x:c r="C599" t="s">
        <x:v>20</x:v>
      </x:c>
      <x:c r="D599" t="s">
        <x:v>45</x:v>
      </x:c>
      <x:c r="E599" t="s">
        <x:v>49</x:v>
      </x:c>
      <x:c r="F599">
        <x:v>84</x:v>
      </x:c>
      <x:c r="G599">
        <x:v>390.05</x:v>
      </x:c>
      <x:c r="H599" t="s">
        <x:v>23</x:v>
      </x:c>
      <x:c r="I599" t="s">
        <x:v>73</x:v>
      </x:c>
      <x:c r="J599" s="1">
        <x:v>45174</x:v>
      </x:c>
      <x:c r="K599" t="s">
        <x:v>27</x:v>
      </x:c>
      <x:c r="M599"/>
      <x:c r="N599">
        <x:v>3</x:v>
      </x:c>
      <x:c r="O599">
        <x:v>4</x:v>
      </x:c>
      <x:c r="P599">
        <x:v>67</x:v>
      </x:c>
      <x:c r="Q599" t="s">
        <x:v>27</x:v>
      </x:c>
      <x:c r="R599" t="n">
        <x:f>IF(subscriptions[[#This Row],[churned]]="Yes",1,0)</x:f>
        <x:v>0</x:v>
      </x:c>
      <x:c r="S599" s="11" t="str">
        <x:f>IF(K599="Yes",(L599-J599)/30.4375,"")</x:f>
      </x:c>
      <x:c r="T599" t="str">
        <x:f>IF(AND(K599="No",P599&lt;40,O599&lt;=4),"High Risk","")</x:f>
      </x:c>
    </x:row>
    <x:row r="600">
      <x:c r="A600" t="s">
        <x:v>657</x:v>
      </x:c>
      <x:c r="B600" t="s">
        <x:v>19</x:v>
      </x:c>
      <x:c r="C600" t="s">
        <x:v>29</x:v>
      </x:c>
      <x:c r="D600" t="s">
        <x:v>21</x:v>
      </x:c>
      <x:c r="E600" t="s">
        <x:v>40</x:v>
      </x:c>
      <x:c r="F600">
        <x:v>18</x:v>
      </x:c>
      <x:c r="G600">
        <x:v>238.38</x:v>
      </x:c>
      <x:c r="H600" t="s">
        <x:v>23</x:v>
      </x:c>
      <x:c r="I600" t="s">
        <x:v>24</x:v>
      </x:c>
      <x:c r="J600" s="1">
        <x:v>45107</x:v>
      </x:c>
      <x:c r="K600" t="s">
        <x:v>27</x:v>
      </x:c>
      <x:c r="M600"/>
      <x:c r="N600">
        <x:v>11</x:v>
      </x:c>
      <x:c r="O600">
        <x:v>4</x:v>
      </x:c>
      <x:c r="P600">
        <x:v>50</x:v>
      </x:c>
      <x:c r="Q600" t="s">
        <x:v>27</x:v>
      </x:c>
      <x:c r="R600" t="n">
        <x:f>IF(subscriptions[[#This Row],[churned]]="Yes",1,0)</x:f>
        <x:v>0</x:v>
      </x:c>
      <x:c r="S600" s="11" t="str">
        <x:f>IF(K600="Yes",(L600-J600)/30.4375,"")</x:f>
      </x:c>
      <x:c r="T600" t="str">
        <x:f>IF(AND(K600="No",P600&lt;40,O600&lt;=4),"High Risk","")</x:f>
      </x:c>
    </x:row>
    <x:row r="601">
      <x:c r="A601" t="s">
        <x:v>658</x:v>
      </x:c>
      <x:c r="B601" t="s">
        <x:v>33</x:v>
      </x:c>
      <x:c r="C601" t="s">
        <x:v>20</x:v>
      </x:c>
      <x:c r="D601" t="s">
        <x:v>53</x:v>
      </x:c>
      <x:c r="E601" t="s">
        <x:v>35</x:v>
      </x:c>
      <x:c r="F601">
        <x:v>87</x:v>
      </x:c>
      <x:c r="G601">
        <x:v>403.1</x:v>
      </x:c>
      <x:c r="H601" t="s">
        <x:v>36</x:v>
      </x:c>
      <x:c r="I601" t="s">
        <x:v>41</x:v>
      </x:c>
      <x:c r="J601" s="1">
        <x:v>45976</x:v>
      </x:c>
      <x:c r="K601" t="s">
        <x:v>27</x:v>
      </x:c>
      <x:c r="M601"/>
      <x:c r="N601">
        <x:v>10</x:v>
      </x:c>
      <x:c r="O601">
        <x:v>10</x:v>
      </x:c>
      <x:c r="P601">
        <x:v>70</x:v>
      </x:c>
      <x:c r="Q601" t="s">
        <x:v>27</x:v>
      </x:c>
      <x:c r="R601" t="n">
        <x:f>IF(subscriptions[[#This Row],[churned]]="Yes",1,0)</x:f>
        <x:v>0</x:v>
      </x:c>
      <x:c r="S601" s="11" t="str">
        <x:f>IF(K601="Yes",(L601-J601)/30.4375,"")</x:f>
      </x:c>
      <x:c r="T601" t="str">
        <x:f>IF(AND(K601="No",P601&lt;40,O601&lt;=4),"High Risk","")</x:f>
      </x:c>
    </x:row>
  </x:sheetData>
  <x:pageMargins left="0.7" right="0.7" top="0.75" bottom="0.75" header="0.3" footer="0.3"/>
  <x:tableParts count="1">
    <x:tablePart xmlns:r="http://schemas.openxmlformats.org/officeDocument/2006/relationships" r:id="Rb7a82b05acdf43a3"/>
  </x:tableParts>
</x:worksheet>
</file>

<file path=xl/worksheets/sheet2.xml><?xml version="1.0" encoding="utf-8"?>
<x:worksheet xmlns:x="http://schemas.openxmlformats.org/spreadsheetml/2006/main">
  <x:sheetFormatPr defaultColWidth="23.5546875" defaultRowHeight="14.399999618530273"/>
  <x:cols>
    <x:col min="1" max="1" width="23.5546875" style="1" customWidth="0"/>
  </x:cols>
  <x:sheetData>
    <x:row r="1">
      <x:c r="A1" s="1" t="s">
        <x:v>659</x:v>
      </x:c>
      <x:c r="B1" t="s">
        <x:v>660</x:v>
      </x:c>
      <x:c r="C1" t="s">
        <x:v>661</x:v>
      </x:c>
      <x:c r="D1" t="s">
        <x:v>662</x:v>
      </x:c>
      <x:c r="E1" t="s">
        <x:v>663</x:v>
      </x:c>
      <x:c r="F1" t="s">
        <x:v>664</x:v>
      </x:c>
      <x:c r="G1" t="s">
        <x:v>665</x:v>
      </x:c>
      <x:c r="H1" t="s">
        <x:v>666</x:v>
      </x:c>
    </x:row>
    <x:row r="2">
      <x:c r="A2" s="1">
        <x:v>44562</x:v>
      </x:c>
      <x:c r="B2">
        <x:v>0</x:v>
      </x:c>
      <x:c r="C2">
        <x:v>5</x:v>
      </x:c>
      <x:c r="D2">
        <x:v>0</x:v>
      </x:c>
      <x:c r="E2">
        <x:v>0</x:v>
      </x:c>
      <x:c r="F2">
        <x:v>0</x:v>
      </x:c>
      <x:c r="G2">
        <x:v>0</x:v>
      </x:c>
      <x:c r="H2">
        <x:v>164.92</x:v>
      </x:c>
    </x:row>
    <x:row r="3">
      <x:c r="A3" s="1">
        <x:v>44593</x:v>
      </x:c>
      <x:c r="B3">
        <x:v>5</x:v>
      </x:c>
      <x:c r="C3">
        <x:v>10</x:v>
      </x:c>
      <x:c r="D3">
        <x:v>1</x:v>
      </x:c>
      <x:c r="E3">
        <x:v>20</x:v>
      </x:c>
      <x:c r="F3">
        <x:v>7333.07</x:v>
      </x:c>
      <x:c r="G3">
        <x:v>1466.61</x:v>
      </x:c>
      <x:c r="H3">
        <x:v>189.21</x:v>
      </x:c>
    </x:row>
    <x:row r="4">
      <x:c r="A4" s="1">
        <x:v>44621</x:v>
      </x:c>
      <x:c r="B4">
        <x:v>14</x:v>
      </x:c>
      <x:c r="C4">
        <x:v>13</x:v>
      </x:c>
      <x:c r="D4">
        <x:v>0</x:v>
      </x:c>
      <x:c r="E4">
        <x:v>0</x:v>
      </x:c>
      <x:c r="F4">
        <x:v>12301.16</x:v>
      </x:c>
      <x:c r="G4">
        <x:v>878.65</x:v>
      </x:c>
      <x:c r="H4">
        <x:v>139.49</x:v>
      </x:c>
    </x:row>
    <x:row r="5">
      <x:c r="A5" s="1">
        <x:v>44652</x:v>
      </x:c>
      <x:c r="B5">
        <x:v>28</x:v>
      </x:c>
      <x:c r="C5">
        <x:v>11</x:v>
      </x:c>
      <x:c r="D5">
        <x:v>3</x:v>
      </x:c>
      <x:c r="E5">
        <x:v>10.71</x:v>
      </x:c>
      <x:c r="F5">
        <x:v>24798.76</x:v>
      </x:c>
      <x:c r="G5">
        <x:v>885.67</x:v>
      </x:c>
      <x:c r="H5">
        <x:v>259.08999999999997</x:v>
      </x:c>
    </x:row>
    <x:row r="6">
      <x:c r="A6" s="1">
        <x:v>44682</x:v>
      </x:c>
      <x:c r="B6">
        <x:v>35</x:v>
      </x:c>
      <x:c r="C6">
        <x:v>11</x:v>
      </x:c>
      <x:c r="D6">
        <x:v>1</x:v>
      </x:c>
      <x:c r="E6">
        <x:v>2.86</x:v>
      </x:c>
      <x:c r="F6">
        <x:v>29091.88</x:v>
      </x:c>
      <x:c r="G6">
        <x:v>831.2</x:v>
      </x:c>
      <x:c r="H6">
        <x:v>152.96</x:v>
      </x:c>
    </x:row>
    <x:row r="7">
      <x:c r="A7" s="1">
        <x:v>44713</x:v>
      </x:c>
      <x:c r="B7">
        <x:v>46</x:v>
      </x:c>
      <x:c r="C7">
        <x:v>10</x:v>
      </x:c>
      <x:c r="D7">
        <x:v>2</x:v>
      </x:c>
      <x:c r="E7">
        <x:v>4.3499999999999996</x:v>
      </x:c>
      <x:c r="F7">
        <x:v>38919.93</x:v>
      </x:c>
      <x:c r="G7">
        <x:v>846.09</x:v>
      </x:c>
      <x:c r="H7">
        <x:v>248.89</x:v>
      </x:c>
    </x:row>
    <x:row r="8">
      <x:c r="A8" s="1">
        <x:v>44743</x:v>
      </x:c>
      <x:c r="B8">
        <x:v>53</x:v>
      </x:c>
      <x:c r="C8">
        <x:v>8</x:v>
      </x:c>
      <x:c r="D8">
        <x:v>6</x:v>
      </x:c>
      <x:c r="E8">
        <x:v>11.32</x:v>
      </x:c>
      <x:c r="F8">
        <x:v>45097.72</x:v>
      </x:c>
      <x:c r="G8">
        <x:v>850.9</x:v>
      </x:c>
      <x:c r="H8">
        <x:v>275.08</x:v>
      </x:c>
    </x:row>
    <x:row r="9">
      <x:c r="A9" s="1">
        <x:v>44774</x:v>
      </x:c>
      <x:c r="B9">
        <x:v>57</x:v>
      </x:c>
      <x:c r="C9">
        <x:v>18</x:v>
      </x:c>
      <x:c r="D9">
        <x:v>6</x:v>
      </x:c>
      <x:c r="E9">
        <x:v>10.53</x:v>
      </x:c>
      <x:c r="F9">
        <x:v>54140.41</x:v>
      </x:c>
      <x:c r="G9">
        <x:v>949.83</x:v>
      </x:c>
      <x:c r="H9">
        <x:v>193.48</x:v>
      </x:c>
    </x:row>
    <x:row r="10">
      <x:c r="A10" s="1">
        <x:v>44805</x:v>
      </x:c>
      <x:c r="B10">
        <x:v>67</x:v>
      </x:c>
      <x:c r="C10">
        <x:v>13</x:v>
      </x:c>
      <x:c r="D10">
        <x:v>5</x:v>
      </x:c>
      <x:c r="E10">
        <x:v>7.46</x:v>
      </x:c>
      <x:c r="F10">
        <x:v>65198</x:v>
      </x:c>
      <x:c r="G10">
        <x:v>973.1</x:v>
      </x:c>
      <x:c r="H10">
        <x:v>216</x:v>
      </x:c>
    </x:row>
    <x:row r="11">
      <x:c r="A11" s="1">
        <x:v>44835</x:v>
      </x:c>
      <x:c r="B11">
        <x:v>76</x:v>
      </x:c>
      <x:c r="C11">
        <x:v>16</x:v>
      </x:c>
      <x:c r="D11">
        <x:v>5</x:v>
      </x:c>
      <x:c r="E11">
        <x:v>6.58</x:v>
      </x:c>
      <x:c r="F11">
        <x:v>86824.16</x:v>
      </x:c>
      <x:c r="G11">
        <x:v>1142.42</x:v>
      </x:c>
      <x:c r="H11">
        <x:v>246.32</x:v>
      </x:c>
    </x:row>
    <x:row r="12">
      <x:c r="A12" s="1">
        <x:v>44866</x:v>
      </x:c>
      <x:c r="B12">
        <x:v>87</x:v>
      </x:c>
      <x:c r="C12">
        <x:v>14</x:v>
      </x:c>
      <x:c r="D12">
        <x:v>5</x:v>
      </x:c>
      <x:c r="E12">
        <x:v>5.75</x:v>
      </x:c>
      <x:c r="F12">
        <x:v>93168.11</x:v>
      </x:c>
      <x:c r="G12">
        <x:v>1070.9000000000001</x:v>
      </x:c>
      <x:c r="H12">
        <x:v>130.12</x:v>
      </x:c>
    </x:row>
    <x:row r="13">
      <x:c r="A13" s="1">
        <x:v>44896</x:v>
      </x:c>
      <x:c r="B13">
        <x:v>95</x:v>
      </x:c>
      <x:c r="C13">
        <x:v>14</x:v>
      </x:c>
      <x:c r="D13">
        <x:v>2</x:v>
      </x:c>
      <x:c r="E13">
        <x:v>2.11</x:v>
      </x:c>
      <x:c r="F13">
        <x:v>96100.66</x:v>
      </x:c>
      <x:c r="G13">
        <x:v>1011.59</x:v>
      </x:c>
      <x:c r="H13">
        <x:v>160.94</x:v>
      </x:c>
    </x:row>
    <x:row r="14">
      <x:c r="A14" s="1">
        <x:v>44927</x:v>
      </x:c>
      <x:c r="B14">
        <x:v>107</x:v>
      </x:c>
      <x:c r="C14">
        <x:v>12</x:v>
      </x:c>
      <x:c r="D14">
        <x:v>4</x:v>
      </x:c>
      <x:c r="E14">
        <x:v>3.74</x:v>
      </x:c>
      <x:c r="F14">
        <x:v>104773.35</x:v>
      </x:c>
      <x:c r="G14">
        <x:v>979.19</x:v>
      </x:c>
      <x:c r="H14">
        <x:v>258.64999999999998</x:v>
      </x:c>
    </x:row>
    <x:row r="15">
      <x:c r="A15" s="1">
        <x:v>44958</x:v>
      </x:c>
      <x:c r="B15">
        <x:v>115</x:v>
      </x:c>
      <x:c r="C15">
        <x:v>10</x:v>
      </x:c>
      <x:c r="D15">
        <x:v>3</x:v>
      </x:c>
      <x:c r="E15">
        <x:v>2.61</x:v>
      </x:c>
      <x:c r="F15">
        <x:v>115539.13</x:v>
      </x:c>
      <x:c r="G15">
        <x:v>1004.69</x:v>
      </x:c>
      <x:c r="H15">
        <x:v>262.48</x:v>
      </x:c>
    </x:row>
    <x:row r="16">
      <x:c r="A16" s="1">
        <x:v>44986</x:v>
      </x:c>
      <x:c r="B16">
        <x:v>123</x:v>
      </x:c>
      <x:c r="C16">
        <x:v>5</x:v>
      </x:c>
      <x:c r="D16">
        <x:v>2</x:v>
      </x:c>
      <x:c r="E16">
        <x:v>1.63</x:v>
      </x:c>
      <x:c r="F16">
        <x:v>125258.61</x:v>
      </x:c>
      <x:c r="G16">
        <x:v>1018.36</x:v>
      </x:c>
      <x:c r="H16">
        <x:v>274.97000000000003</x:v>
      </x:c>
    </x:row>
    <x:row r="17">
      <x:c r="A17" s="1">
        <x:v>45017</x:v>
      </x:c>
      <x:c r="B17">
        <x:v>125</x:v>
      </x:c>
      <x:c r="C17">
        <x:v>14</x:v>
      </x:c>
      <x:c r="D17">
        <x:v>8</x:v>
      </x:c>
      <x:c r="E17">
        <x:v>6.4</x:v>
      </x:c>
      <x:c r="F17">
        <x:v>129471.28</x:v>
      </x:c>
      <x:c r="G17">
        <x:v>1035.77</x:v>
      </x:c>
      <x:c r="H17">
        <x:v>271.47000000000003</x:v>
      </x:c>
    </x:row>
    <x:row r="18">
      <x:c r="A18" s="1">
        <x:v>45047</x:v>
      </x:c>
      <x:c r="B18">
        <x:v>133</x:v>
      </x:c>
      <x:c r="C18">
        <x:v>13</x:v>
      </x:c>
      <x:c r="D18">
        <x:v>4</x:v>
      </x:c>
      <x:c r="E18">
        <x:v>3.01</x:v>
      </x:c>
      <x:c r="F18">
        <x:v>142401.69</x:v>
      </x:c>
      <x:c r="G18">
        <x:v>1070.69</x:v>
      </x:c>
      <x:c r="H18">
        <x:v>122.99</x:v>
      </x:c>
    </x:row>
    <x:row r="19">
      <x:c r="A19" s="1">
        <x:v>45078</x:v>
      </x:c>
      <x:c r="B19">
        <x:v>140</x:v>
      </x:c>
      <x:c r="C19">
        <x:v>15</x:v>
      </x:c>
      <x:c r="D19">
        <x:v>10</x:v>
      </x:c>
      <x:c r="E19">
        <x:v>7.14</x:v>
      </x:c>
      <x:c r="F19">
        <x:v>142966.32</x:v>
      </x:c>
      <x:c r="G19">
        <x:v>1021.19</x:v>
      </x:c>
      <x:c r="H19">
        <x:v>161.5</x:v>
      </x:c>
    </x:row>
    <x:row r="20">
      <x:c r="A20" s="1">
        <x:v>45108</x:v>
      </x:c>
      <x:c r="B20">
        <x:v>145</x:v>
      </x:c>
      <x:c r="C20">
        <x:v>19</x:v>
      </x:c>
      <x:c r="D20">
        <x:v>7</x:v>
      </x:c>
      <x:c r="E20">
        <x:v>4.83</x:v>
      </x:c>
      <x:c r="F20">
        <x:v>147630.35999999999</x:v>
      </x:c>
      <x:c r="G20">
        <x:v>1018.14</x:v>
      </x:c>
      <x:c r="H20">
        <x:v>279.58999999999997</x:v>
      </x:c>
    </x:row>
    <x:row r="21">
      <x:c r="A21" s="1">
        <x:v>45139</x:v>
      </x:c>
      <x:c r="B21">
        <x:v>157</x:v>
      </x:c>
      <x:c r="C21">
        <x:v>10</x:v>
      </x:c>
      <x:c r="D21">
        <x:v>7</x:v>
      </x:c>
      <x:c r="E21">
        <x:v>4.46</x:v>
      </x:c>
      <x:c r="F21">
        <x:v>158920.70000000001</x:v>
      </x:c>
      <x:c r="G21">
        <x:v>1012.23</x:v>
      </x:c>
      <x:c r="H21">
        <x:v>131.26</x:v>
      </x:c>
    </x:row>
    <x:row r="22">
      <x:c r="A22" s="1">
        <x:v>45170</x:v>
      </x:c>
      <x:c r="B22">
        <x:v>160</x:v>
      </x:c>
      <x:c r="C22">
        <x:v>17</x:v>
      </x:c>
      <x:c r="D22">
        <x:v>7</x:v>
      </x:c>
      <x:c r="E22">
        <x:v>4.38</x:v>
      </x:c>
      <x:c r="F22">
        <x:v>162830.01999999999</x:v>
      </x:c>
      <x:c r="G22">
        <x:v>1017.69</x:v>
      </x:c>
      <x:c r="H22">
        <x:v>258.93</x:v>
      </x:c>
    </x:row>
    <x:row r="23">
      <x:c r="A23" s="1">
        <x:v>45200</x:v>
      </x:c>
      <x:c r="B23">
        <x:v>170</x:v>
      </x:c>
      <x:c r="C23">
        <x:v>16</x:v>
      </x:c>
      <x:c r="D23">
        <x:v>5</x:v>
      </x:c>
      <x:c r="E23">
        <x:v>2.94</x:v>
      </x:c>
      <x:c r="F23">
        <x:v>170763.72</x:v>
      </x:c>
      <x:c r="G23">
        <x:v>1004.49</x:v>
      </x:c>
      <x:c r="H23">
        <x:v>240.01</x:v>
      </x:c>
    </x:row>
    <x:row r="24">
      <x:c r="A24" s="1">
        <x:v>45231</x:v>
      </x:c>
      <x:c r="B24">
        <x:v>181</x:v>
      </x:c>
      <x:c r="C24">
        <x:v>11</x:v>
      </x:c>
      <x:c r="D24">
        <x:v>8</x:v>
      </x:c>
      <x:c r="E24">
        <x:v>4.42</x:v>
      </x:c>
      <x:c r="F24">
        <x:v>184058.29</x:v>
      </x:c>
      <x:c r="G24">
        <x:v>1016.9</x:v>
      </x:c>
      <x:c r="H24">
        <x:v>178.83</x:v>
      </x:c>
    </x:row>
    <x:row r="25">
      <x:c r="A25" s="1">
        <x:v>45261</x:v>
      </x:c>
      <x:c r="B25">
        <x:v>183</x:v>
      </x:c>
      <x:c r="C25">
        <x:v>9</x:v>
      </x:c>
      <x:c r="D25">
        <x:v>7</x:v>
      </x:c>
      <x:c r="E25">
        <x:v>3.83</x:v>
      </x:c>
      <x:c r="F25">
        <x:v>189579.35</x:v>
      </x:c>
      <x:c r="G25">
        <x:v>1035.95</x:v>
      </x:c>
      <x:c r="H25">
        <x:v>180.21</x:v>
      </x:c>
    </x:row>
    <x:row r="26">
      <x:c r="A26" s="1">
        <x:v>45292</x:v>
      </x:c>
      <x:c r="B26">
        <x:v>186</x:v>
      </x:c>
      <x:c r="C26">
        <x:v>10</x:v>
      </x:c>
      <x:c r="D26">
        <x:v>7</x:v>
      </x:c>
      <x:c r="E26">
        <x:v>3.76</x:v>
      </x:c>
      <x:c r="F26">
        <x:v>191783.54</x:v>
      </x:c>
      <x:c r="G26">
        <x:v>1031.0899999999999</x:v>
      </x:c>
      <x:c r="H26">
        <x:v>275.62</x:v>
      </x:c>
    </x:row>
    <x:row r="27">
      <x:c r="A27" s="1">
        <x:v>45323</x:v>
      </x:c>
      <x:c r="B27">
        <x:v>188</x:v>
      </x:c>
      <x:c r="C27">
        <x:v>7</x:v>
      </x:c>
      <x:c r="D27">
        <x:v>8</x:v>
      </x:c>
      <x:c r="E27">
        <x:v>4.26</x:v>
      </x:c>
      <x:c r="F27">
        <x:v>192379.41</x:v>
      </x:c>
      <x:c r="G27">
        <x:v>1023.29</x:v>
      </x:c>
      <x:c r="H27">
        <x:v>142.08000000000001</x:v>
      </x:c>
    </x:row>
    <x:row r="28">
      <x:c r="A28" s="1">
        <x:v>45352</x:v>
      </x:c>
      <x:c r="B28">
        <x:v>189</x:v>
      </x:c>
      <x:c r="C28">
        <x:v>19</x:v>
      </x:c>
      <x:c r="D28">
        <x:v>4</x:v>
      </x:c>
      <x:c r="E28">
        <x:v>2.12</x:v>
      </x:c>
      <x:c r="F28">
        <x:v>196219.33</x:v>
      </x:c>
      <x:c r="G28">
        <x:v>1038.2</x:v>
      </x:c>
      <x:c r="H28">
        <x:v>251.87</x:v>
      </x:c>
    </x:row>
    <x:row r="29">
      <x:c r="A29" s="1">
        <x:v>45383</x:v>
      </x:c>
      <x:c r="B29">
        <x:v>203</x:v>
      </x:c>
      <x:c r="C29">
        <x:v>11</x:v>
      </x:c>
      <x:c r="D29">
        <x:v>8</x:v>
      </x:c>
      <x:c r="E29">
        <x:v>3.94</x:v>
      </x:c>
      <x:c r="F29">
        <x:v>200076.61</x:v>
      </x:c>
      <x:c r="G29">
        <x:v>985.6</x:v>
      </x:c>
      <x:c r="H29">
        <x:v>212.11</x:v>
      </x:c>
    </x:row>
    <x:row r="30">
      <x:c r="A30" s="1">
        <x:v>45413</x:v>
      </x:c>
      <x:c r="B30">
        <x:v>206</x:v>
      </x:c>
      <x:c r="C30">
        <x:v>14</x:v>
      </x:c>
      <x:c r="D30">
        <x:v>8</x:v>
      </x:c>
      <x:c r="E30">
        <x:v>3.88</x:v>
      </x:c>
      <x:c r="F30">
        <x:v>217117.58</x:v>
      </x:c>
      <x:c r="G30">
        <x:v>1053.97</x:v>
      </x:c>
      <x:c r="H30">
        <x:v>139.55000000000001</x:v>
      </x:c>
    </x:row>
    <x:row r="31">
      <x:c r="A31" s="1">
        <x:v>45444</x:v>
      </x:c>
      <x:c r="B31">
        <x:v>213</x:v>
      </x:c>
      <x:c r="C31">
        <x:v>13</x:v>
      </x:c>
      <x:c r="D31">
        <x:v>9</x:v>
      </x:c>
      <x:c r="E31">
        <x:v>4.2300000000000004</x:v>
      </x:c>
      <x:c r="F31">
        <x:v>215810.52</x:v>
      </x:c>
      <x:c r="G31">
        <x:v>1013.19</x:v>
      </x:c>
      <x:c r="H31">
        <x:v>241.12</x:v>
      </x:c>
    </x:row>
    <x:row r="32">
      <x:c r="A32" s="1">
        <x:v>45474</x:v>
      </x:c>
      <x:c r="B32">
        <x:v>216</x:v>
      </x:c>
      <x:c r="C32">
        <x:v>14</x:v>
      </x:c>
      <x:c r="D32">
        <x:v>8</x:v>
      </x:c>
      <x:c r="E32">
        <x:v>3.7</x:v>
      </x:c>
      <x:c r="F32">
        <x:v>222303.35999999999</x:v>
      </x:c>
      <x:c r="G32">
        <x:v>1029.18</x:v>
      </x:c>
      <x:c r="H32">
        <x:v>201.02</x:v>
      </x:c>
    </x:row>
    <x:row r="33">
      <x:c r="A33" s="1">
        <x:v>45505</x:v>
      </x:c>
      <x:c r="B33">
        <x:v>223</x:v>
      </x:c>
      <x:c r="C33">
        <x:v>12</x:v>
      </x:c>
      <x:c r="D33">
        <x:v>7</x:v>
      </x:c>
      <x:c r="E33">
        <x:v>3.14</x:v>
      </x:c>
      <x:c r="F33">
        <x:v>242222.62</x:v>
      </x:c>
      <x:c r="G33">
        <x:v>1086.2</x:v>
      </x:c>
      <x:c r="H33">
        <x:v>128.12</x:v>
      </x:c>
    </x:row>
    <x:row r="34">
      <x:c r="A34" s="1">
        <x:v>45536</x:v>
      </x:c>
      <x:c r="B34">
        <x:v>226</x:v>
      </x:c>
      <x:c r="C34">
        <x:v>11</x:v>
      </x:c>
      <x:c r="D34">
        <x:v>7</x:v>
      </x:c>
      <x:c r="E34">
        <x:v>3.1</x:v>
      </x:c>
      <x:c r="F34">
        <x:v>234749.84</x:v>
      </x:c>
      <x:c r="G34">
        <x:v>1038.72</x:v>
      </x:c>
      <x:c r="H34">
        <x:v>125.59</x:v>
      </x:c>
    </x:row>
    <x:row r="35">
      <x:c r="A35" s="1">
        <x:v>45566</x:v>
      </x:c>
      <x:c r="B35">
        <x:v>233</x:v>
      </x:c>
      <x:c r="C35">
        <x:v>13</x:v>
      </x:c>
      <x:c r="D35">
        <x:v>7</x:v>
      </x:c>
      <x:c r="E35">
        <x:v>3</x:v>
      </x:c>
      <x:c r="F35">
        <x:v>239344.73</x:v>
      </x:c>
      <x:c r="G35">
        <x:v>1027.23</x:v>
      </x:c>
      <x:c r="H35">
        <x:v>242.79</x:v>
      </x:c>
    </x:row>
    <x:row r="36">
      <x:c r="A36" s="1">
        <x:v>45597</x:v>
      </x:c>
      <x:c r="B36">
        <x:v>238</x:v>
      </x:c>
      <x:c r="C36">
        <x:v>12</x:v>
      </x:c>
      <x:c r="D36">
        <x:v>9</x:v>
      </x:c>
      <x:c r="E36">
        <x:v>3.78</x:v>
      </x:c>
      <x:c r="F36">
        <x:v>253489.47</x:v>
      </x:c>
      <x:c r="G36">
        <x:v>1065.08</x:v>
      </x:c>
      <x:c r="H36">
        <x:v>234.58</x:v>
      </x:c>
    </x:row>
    <x:row r="37">
      <x:c r="A37" s="1">
        <x:v>45627</x:v>
      </x:c>
      <x:c r="B37">
        <x:v>240</x:v>
      </x:c>
      <x:c r="C37">
        <x:v>15</x:v>
      </x:c>
      <x:c r="D37">
        <x:v>9</x:v>
      </x:c>
      <x:c r="E37">
        <x:v>3.75</x:v>
      </x:c>
      <x:c r="F37">
        <x:v>260856.24</x:v>
      </x:c>
      <x:c r="G37">
        <x:v>1086.9000000000001</x:v>
      </x:c>
      <x:c r="H37">
        <x:v>238.17</x:v>
      </x:c>
    </x:row>
    <x:row r="38">
      <x:c r="A38" s="1">
        <x:v>45658</x:v>
      </x:c>
      <x:c r="B38">
        <x:v>247</x:v>
      </x:c>
      <x:c r="C38">
        <x:v>13</x:v>
      </x:c>
      <x:c r="D38">
        <x:v>9</x:v>
      </x:c>
      <x:c r="E38">
        <x:v>3.64</x:v>
      </x:c>
      <x:c r="F38">
        <x:v>266142.93</x:v>
      </x:c>
      <x:c r="G38">
        <x:v>1077.5</x:v>
      </x:c>
      <x:c r="H38">
        <x:v>218.41</x:v>
      </x:c>
    </x:row>
    <x:row r="39">
      <x:c r="A39" s="1">
        <x:v>45689</x:v>
      </x:c>
      <x:c r="B39">
        <x:v>251</x:v>
      </x:c>
      <x:c r="C39">
        <x:v>15</x:v>
      </x:c>
      <x:c r="D39">
        <x:v>8</x:v>
      </x:c>
      <x:c r="E39">
        <x:v>3.19</x:v>
      </x:c>
      <x:c r="F39">
        <x:v>274162.53999999998</x:v>
      </x:c>
      <x:c r="G39">
        <x:v>1092.28</x:v>
      </x:c>
      <x:c r="H39">
        <x:v>164.96</x:v>
      </x:c>
    </x:row>
    <x:row r="40">
      <x:c r="A40" s="1">
        <x:v>45717</x:v>
      </x:c>
      <x:c r="B40">
        <x:v>257</x:v>
      </x:c>
      <x:c r="C40">
        <x:v>18</x:v>
      </x:c>
      <x:c r="D40">
        <x:v>7</x:v>
      </x:c>
      <x:c r="E40">
        <x:v>2.72</x:v>
      </x:c>
      <x:c r="F40">
        <x:v>280928.08</x:v>
      </x:c>
      <x:c r="G40">
        <x:v>1093.1099999999999</x:v>
      </x:c>
      <x:c r="H40">
        <x:v>138.82</x:v>
      </x:c>
    </x:row>
    <x:row r="41">
      <x:c r="A41" s="1">
        <x:v>45748</x:v>
      </x:c>
      <x:c r="B41">
        <x:v>270</x:v>
      </x:c>
      <x:c r="C41">
        <x:v>13</x:v>
      </x:c>
      <x:c r="D41">
        <x:v>17</x:v>
      </x:c>
      <x:c r="E41">
        <x:v>6.3</x:v>
      </x:c>
      <x:c r="F41">
        <x:v>287791.15000000002</x:v>
      </x:c>
      <x:c r="G41">
        <x:v>1065.8900000000001</x:v>
      </x:c>
      <x:c r="H41">
        <x:v>144.11000000000001</x:v>
      </x:c>
    </x:row>
    <x:row r="42">
      <x:c r="A42" s="1">
        <x:v>45778</x:v>
      </x:c>
      <x:c r="B42">
        <x:v>264</x:v>
      </x:c>
      <x:c r="C42">
        <x:v>12</x:v>
      </x:c>
      <x:c r="D42">
        <x:v>15</x:v>
      </x:c>
      <x:c r="E42">
        <x:v>5.68</x:v>
      </x:c>
      <x:c r="F42">
        <x:v>287207.82</x:v>
      </x:c>
      <x:c r="G42">
        <x:v>1087.9100000000001</x:v>
      </x:c>
      <x:c r="H42">
        <x:v>149.54</x:v>
      </x:c>
    </x:row>
    <x:row r="43">
      <x:c r="A43" s="1">
        <x:v>45809</x:v>
      </x:c>
      <x:c r="B43">
        <x:v>261</x:v>
      </x:c>
      <x:c r="C43">
        <x:v>15</x:v>
      </x:c>
      <x:c r="D43">
        <x:v>11</x:v>
      </x:c>
      <x:c r="E43">
        <x:v>4.21</x:v>
      </x:c>
      <x:c r="F43">
        <x:v>280683.13</x:v>
      </x:c>
      <x:c r="G43">
        <x:v>1075.4100000000001</x:v>
      </x:c>
      <x:c r="H43">
        <x:v>238.11</x:v>
      </x:c>
    </x:row>
    <x:row r="44">
      <x:c r="A44" s="1">
        <x:v>45839</x:v>
      </x:c>
      <x:c r="B44">
        <x:v>265</x:v>
      </x:c>
      <x:c r="C44">
        <x:v>9</x:v>
      </x:c>
      <x:c r="D44">
        <x:v>9</x:v>
      </x:c>
      <x:c r="E44">
        <x:v>3.4</x:v>
      </x:c>
      <x:c r="F44">
        <x:v>287661.73</x:v>
      </x:c>
      <x:c r="G44">
        <x:v>1085.52</x:v>
      </x:c>
      <x:c r="H44">
        <x:v>150.51</x:v>
      </x:c>
    </x:row>
    <x:row r="45">
      <x:c r="A45" s="1">
        <x:v>45870</x:v>
      </x:c>
      <x:c r="B45">
        <x:v>265</x:v>
      </x:c>
      <x:c r="C45">
        <x:v>7</x:v>
      </x:c>
      <x:c r="D45">
        <x:v>7</x:v>
      </x:c>
      <x:c r="E45">
        <x:v>2.64</x:v>
      </x:c>
      <x:c r="F45">
        <x:v>287743</x:v>
      </x:c>
      <x:c r="G45">
        <x:v>1085.82</x:v>
      </x:c>
      <x:c r="H45">
        <x:v>129.38</x:v>
      </x:c>
    </x:row>
    <x:row r="46">
      <x:c r="A46" s="1">
        <x:v>45901</x:v>
      </x:c>
      <x:c r="B46">
        <x:v>265</x:v>
      </x:c>
      <x:c r="C46">
        <x:v>13</x:v>
      </x:c>
      <x:c r="D46">
        <x:v>9</x:v>
      </x:c>
      <x:c r="E46">
        <x:v>3.4</x:v>
      </x:c>
      <x:c r="F46">
        <x:v>290824.44</x:v>
      </x:c>
      <x:c r="G46">
        <x:v>1097.45</x:v>
      </x:c>
      <x:c r="H46">
        <x:v>182.15</x:v>
      </x:c>
    </x:row>
    <x:row r="47">
      <x:c r="A47" s="1">
        <x:v>45931</x:v>
      </x:c>
      <x:c r="B47">
        <x:v>269</x:v>
      </x:c>
      <x:c r="C47">
        <x:v>18</x:v>
      </x:c>
      <x:c r="D47">
        <x:v>9</x:v>
      </x:c>
      <x:c r="E47">
        <x:v>3.35</x:v>
      </x:c>
      <x:c r="F47">
        <x:v>280089.15000000002</x:v>
      </x:c>
      <x:c r="G47">
        <x:v>1041.22</x:v>
      </x:c>
      <x:c r="H47">
        <x:v>250.08</x:v>
      </x:c>
    </x:row>
    <x:row r="48">
      <x:c r="A48" s="1">
        <x:v>45962</x:v>
      </x:c>
      <x:c r="B48">
        <x:v>278</x:v>
      </x:c>
      <x:c r="C48">
        <x:v>11</x:v>
      </x:c>
      <x:c r="D48">
        <x:v>9</x:v>
      </x:c>
      <x:c r="E48">
        <x:v>3.24</x:v>
      </x:c>
      <x:c r="F48">
        <x:v>285261.36</x:v>
      </x:c>
      <x:c r="G48">
        <x:v>1026.1199999999999</x:v>
      </x:c>
      <x:c r="H48">
        <x:v>254.4</x:v>
      </x:c>
    </x:row>
    <x:row r="49">
      <x:c r="A49" s="1">
        <x:v>45992</x:v>
      </x:c>
      <x:c r="B49">
        <x:v>281</x:v>
      </x:c>
      <x:c r="C49">
        <x:v>11</x:v>
      </x:c>
      <x:c r="D49">
        <x:v>4</x:v>
      </x:c>
      <x:c r="E49">
        <x:v>1.42</x:v>
      </x:c>
      <x:c r="F49">
        <x:v>292628.61</x:v>
      </x:c>
      <x:c r="G49">
        <x:v>1041.3800000000001</x:v>
      </x:c>
      <x:c r="H49">
        <x:v>151.47</x:v>
      </x:c>
    </x:row>
  </x:sheetData>
  <x:pageMargins left="0.7" right="0.7" top="0.75" bottom="0.75" header="0.3" footer="0.3"/>
  <x:tableParts count="1">
    <x:tablePart xmlns:r="http://schemas.openxmlformats.org/officeDocument/2006/relationships" r:id="R7f068aaf91654b85"/>
  </x:tableParts>
</x:worksheet>
</file>

<file path=xl/worksheets/sheet3.xml><?xml version="1.0" encoding="utf-8"?>
<x:worksheet xmlns:x="http://schemas.openxmlformats.org/spreadsheetml/2006/main">
  <x:sheetFormatPr defaultColWidth="29.33203125" defaultRowHeight="14.399999618530273"/>
  <x:cols>
    <x:col min="1" max="1" width="17.88671875" customWidth="1"/>
    <x:col min="2" max="2" width="26.21875" customWidth="1"/>
    <x:col min="3" max="3" width="7.109375" customWidth="1"/>
    <x:col min="4" max="4" width="11" customWidth="1"/>
  </x:cols>
  <x:sheetData>
    <x:row r="1">
      <x:c r="A1" t="s">
        <x:v>667</x:v>
      </x:c>
      <x:c r="B1" t="s">
        <x:v>668</x:v>
      </x:c>
    </x:row>
    <x:row r="2">
      <x:c r="A2" t="s">
        <x:v>669</x:v>
      </x:c>
      <x:c r="B2" t="n">
        <x:f>COUNTA(Subscriptions!A2:A601)</x:f>
        <x:v>600</x:v>
      </x:c>
    </x:row>
    <x:row r="3">
      <x:c r="A3" t="s">
        <x:v>670</x:v>
      </x:c>
      <x:c r="B3" t="n">
        <x:f>COUNTIF(Subscriptions!K2:K601,"Yes")</x:f>
        <x:v>313</x:v>
      </x:c>
    </x:row>
    <x:row r="4">
      <x:c r="A4" t="s">
        <x:v>671</x:v>
      </x:c>
      <x:c r="B4" t="n">
        <x:f>COUNTIF(Subscriptions!K2:K601,"No")</x:f>
        <x:v>287</x:v>
      </x:c>
    </x:row>
    <x:row r="5">
      <x:c r="A5" t="s">
        <x:v>672</x:v>
      </x:c>
      <x:c r="B5" s="2" t="n">
        <x:f>B3/B2</x:f>
        <x:v>0.5216666666666666</x:v>
      </x:c>
    </x:row>
    <x:row r="29">
      <x:c r="F29" s="3"/>
      <x:c r="G29" s="3" t="str">
        <x:v>Yes</x:v>
      </x:c>
      <x:c r="H29" t="str">
        <x:v>No</x:v>
      </x:c>
      <x:c r="I29" t="str">
        <x:v>Grand Total</x:v>
      </x:c>
    </x:row>
    <x:row r="30">
      <x:c r="F30" s="3" t="str">
        <x:v>Row Labels</x:v>
      </x:c>
      <x:c r="G30" t="str"/>
      <x:c r="H30" t="str"/>
      <x:c r="I30" t="str">
        <x:v>Grand Total</x:v>
      </x:c>
    </x:row>
    <x:row r="31">
      <x:c r="F31" s="4" t="str">
        <x:v>Business</x:v>
      </x:c>
      <x:c r="G31" s="5" t="n">
        <x:v>0.4125</x:v>
      </x:c>
      <x:c r="H31" s="5" t="n">
        <x:v>0.5875</x:v>
      </x:c>
      <x:c r="I31" s="5" t="n">
        <x:v>1</x:v>
      </x:c>
    </x:row>
    <x:row r="32">
      <x:c r="F32" s="4" t="str">
        <x:v>Enterprise</x:v>
      </x:c>
      <x:c r="G32" s="5" t="n">
        <x:v>0.22</x:v>
      </x:c>
      <x:c r="H32" s="5" t="n">
        <x:v>0.78</x:v>
      </x:c>
      <x:c r="I32" s="5" t="n">
        <x:v>1</x:v>
      </x:c>
    </x:row>
    <x:row r="33">
      <x:c r="F33" s="4" t="str">
        <x:v>Professional</x:v>
      </x:c>
      <x:c r="G33" s="5" t="n">
        <x:v>0.4797687861271676</x:v>
      </x:c>
      <x:c r="H33" s="5" t="n">
        <x:v>0.5202312138728323</x:v>
      </x:c>
      <x:c r="I33" s="5" t="n">
        <x:v>1</x:v>
      </x:c>
    </x:row>
    <x:row r="34">
      <x:c r="F34" s="4" t="str">
        <x:v>Starter</x:v>
      </x:c>
      <x:c r="G34" s="5" t="n">
        <x:v>0.7050691244239631</x:v>
      </x:c>
      <x:c r="H34" s="5" t="n">
        <x:v>0.29493087557603687</x:v>
      </x:c>
      <x:c r="I34" s="5" t="n">
        <x:v>1</x:v>
      </x:c>
    </x:row>
    <x:row r="35">
      <x:c r="F35" s="4" t="str">
        <x:v>Grand Total</x:v>
      </x:c>
      <x:c r="G35" s="5" t="n">
        <x:v>0.5216666666666666</x:v>
      </x:c>
      <x:c r="H35" s="5" t="n">
        <x:v>0.47833333333333333</x:v>
      </x:c>
      <x:c r="I35" s="5" t="n">
        <x:v>1</x:v>
      </x:c>
    </x:row>
    <x:row r="50">
      <x:c r="A50" s="3" t="str">
        <x:v>Row Labels</x:v>
      </x:c>
      <x:c r="B50" t="str">
        <x:v>Average of churn_flag</x:v>
      </x:c>
    </x:row>
    <x:row r="51">
      <x:c r="A51" s="4" t="str">
        <x:v>Business</x:v>
      </x:c>
      <x:c r="B51" s="5" t="n">
        <x:v>0.4125</x:v>
      </x:c>
    </x:row>
    <x:row r="52">
      <x:c r="A52" s="4" t="str">
        <x:v>Enterprise</x:v>
      </x:c>
      <x:c r="B52" s="5" t="n">
        <x:v>0.22</x:v>
      </x:c>
    </x:row>
    <x:row r="53">
      <x:c r="A53" s="4" t="str">
        <x:v>Professional</x:v>
      </x:c>
      <x:c r="B53" s="5" t="n">
        <x:v>0.4797687861271676</x:v>
      </x:c>
    </x:row>
    <x:row r="54">
      <x:c r="A54" s="4" t="str">
        <x:v>Starter</x:v>
      </x:c>
      <x:c r="B54" s="5" t="n">
        <x:v>0.7050691244239631</x:v>
      </x:c>
    </x:row>
    <x:row r="55">
      <x:c r="A55" s="4" t="str">
        <x:v>Grand Total</x:v>
      </x:c>
      <x:c r="B55" s="5" t="n">
        <x:v>0.5216666666666666</x:v>
      </x:c>
    </x:row>
    <x:row r="64">
      <x:c r="A64" s="3" t="str">
        <x:v>Row Labels</x:v>
      </x:c>
      <x:c r="B64" t="str">
        <x:v>Average of churn_flag</x:v>
      </x:c>
    </x:row>
    <x:row r="65">
      <x:c r="A65" s="4" t="str">
        <x:v>Annual</x:v>
      </x:c>
      <x:c r="B65" s="5" t="n">
        <x:v>0.4032258064516129</x:v>
      </x:c>
    </x:row>
    <x:row r="66">
      <x:c r="A66" s="4" t="str">
        <x:v>Monthly</x:v>
      </x:c>
      <x:c r="B66" s="5" t="n">
        <x:v>0.6051136363636364</x:v>
      </x:c>
    </x:row>
    <x:row r="67">
      <x:c r="A67" s="4" t="str">
        <x:v>Grand Total</x:v>
      </x:c>
      <x:c r="B67" s="5" t="n">
        <x:v>0.5216666666666666</x:v>
      </x:c>
    </x:row>
  </x:sheetData>
  <x:pageMargins left="0.7" right="0.7" top="0.75" bottom="0.75" header="0.3" footer="0.3"/>
  <x:drawing xmlns:r="http://schemas.openxmlformats.org/officeDocument/2006/relationships" r:id="R0b1638e475f44888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2" t="str">
        <x:v>CloudTask Pro | SaaS Revenue &amp; Churn Dashboard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>
      <x:c r="A3" s="29" t="str">
        <x:v>Board-ready view of retention, revenue, unit economics, and customer risk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5">
      <x:c r="A5" s="35" t="str">
        <x:v>Total Customers</x:v>
      </x:c>
      <x:c r="B5" s="35"/>
      <x:c r="C5" s="35" t="str">
        <x:v>Overall Churn Rate</x:v>
      </x:c>
      <x:c r="D5" s="35"/>
      <x:c r="E5" s="35" t="str">
        <x:v>Latest MRR</x:v>
      </x:c>
      <x:c r="F5" s="35"/>
      <x:c r="G5" s="35" t="str">
        <x:v>Avg CAC</x:v>
      </x:c>
      <x:c r="H5" s="35"/>
      <x:c r="I5" s="35" t="str">
        <x:v>High-Risk Active</x:v>
      </x:c>
      <x:c r="J5" s="35"/>
    </x:row>
    <x:row r="6">
      <x:c r="A6" s="49" t="n">
        <x:f>COUNTA(Subscriptions!A2:A601)</x:f>
        <x:v>600</x:v>
      </x:c>
      <x:c r="B6" s="50"/>
      <x:c r="C6" s="67" t="n">
        <x:f>COUNTIF(Subscriptions!K2:K601,"Yes")/COUNTA(Subscriptions!A2:A601)</x:f>
        <x:v>0.5216666666666666</x:v>
      </x:c>
      <x:c r="D6" s="50"/>
      <x:c r="E6" s="69" t="n">
        <x:f>Monthly_revenue!F49</x:f>
        <x:v>292628.61</x:v>
      </x:c>
      <x:c r="F6" s="70"/>
      <x:c r="G6" s="69" t="n">
        <x:f>AVERAGE(Monthly_revenue!H2:H49)</x:f>
        <x:v>200.04062499999998</x:v>
      </x:c>
      <x:c r="H6" s="50"/>
      <x:c r="I6" s="73" t="n">
        <x:f>COUNTIF(Subscriptions!T2:T601,"High Risk")</x:f>
        <x:v>31</x:v>
      </x:c>
      <x:c r="J6" s="50"/>
    </x:row>
    <x:row r="7">
      <x:c r="A7" s="51"/>
      <x:c r="B7" s="52"/>
      <x:c r="C7" s="51"/>
      <x:c r="D7" s="52"/>
      <x:c r="E7" s="51"/>
      <x:c r="F7" s="52"/>
      <x:c r="G7" s="51"/>
      <x:c r="H7" s="52"/>
      <x:c r="I7" s="51"/>
      <x:c r="J7" s="52"/>
    </x:row>
    <x:row r="9">
      <x:c r="A9" s="77" t="str">
        <x:v>Retention &amp; Revenue Trends</x:v>
      </x:c>
      <x:c r="B9" s="77"/>
      <x:c r="C9" s="77"/>
      <x:c r="D9" s="77"/>
      <x:c r="E9" s="77"/>
      <x:c r="F9" s="77"/>
      <x:c r="G9" s="77" t="str">
        <x:v>Customer Churn Drivers</x:v>
      </x:c>
      <x:c r="H9" s="77"/>
      <x:c r="I9" s="77"/>
      <x:c r="J9" s="77"/>
      <x:c r="K9" s="77"/>
      <x:c r="L9" s="77"/>
    </x:row>
    <x:row r="28">
      <x:c r="A28" s="77" t="str">
        <x:v>Unit Economics</x:v>
      </x:c>
      <x:c r="B28" s="77"/>
      <x:c r="C28" s="77"/>
      <x:c r="D28" s="77"/>
      <x:c r="E28" s="77"/>
      <x:c r="F28" s="77"/>
      <x:c r="G28" s="77" t="str">
        <x:v>Board Takeaways</x:v>
      </x:c>
      <x:c r="H28" s="77"/>
      <x:c r="I28" s="77"/>
      <x:c r="J28" s="77"/>
      <x:c r="K28" s="77"/>
      <x:c r="L28" s="77"/>
    </x:row>
    <x:row r="30">
      <x:c r="G30" s="15" t="str">
        <x:v>Priority</x:v>
      </x:c>
      <x:c r="H30" s="15" t="str">
        <x:v>Board takeaway</x:v>
      </x:c>
      <x:c r="I30" s="15"/>
      <x:c r="J30" s="15"/>
      <x:c r="K30" s="15"/>
      <x:c r="L30" s="15"/>
    </x:row>
    <x:row r="31">
      <x:c r="G31" s="82" t="str">
        <x:v>1</x:v>
      </x:c>
      <x:c r="H31" s="85" t="str">
        <x:v>Overall churn is 52.2%; Starter is the highest-risk plan at 70.5%.</x:v>
      </x:c>
      <x:c r="I31" s="85"/>
      <x:c r="J31" s="85"/>
      <x:c r="K31" s="85"/>
      <x:c r="L31" s="85"/>
    </x:row>
    <x:row r="32">
      <x:c r="G32" s="82" t="str">
        <x:v>2</x:v>
      </x:c>
      <x:c r="H32" s="85" t="str">
        <x:v>Monthly billing churn is materially higher than annual billing (60.5% vs 40.3%).</x:v>
      </x:c>
      <x:c r="I32" s="85"/>
      <x:c r="J32" s="85"/>
      <x:c r="K32" s="85"/>
      <x:c r="L32" s="85"/>
    </x:row>
    <x:row r="33">
      <x:c r="G33" s="82" t="str">
        <x:v>3</x:v>
      </x:c>
      <x:c r="H33" s="85" t="str">
        <x:v>Low feature usage is the strongest warning signal: customers below 40% usage churn at ~73.4% historically.</x:v>
      </x:c>
      <x:c r="I33" s="85"/>
      <x:c r="J33" s="85"/>
      <x:c r="K33" s="85"/>
      <x:c r="L33" s="85"/>
    </x:row>
    <x:row r="34">
      <x:c r="G34" s="82" t="str">
        <x:v>4</x:v>
      </x:c>
      <x:c r="H34" s="85" t="str">
        <x:v>Budget Cuts, Price Too High, and Company Closed are the top three stated churn reasons.</x:v>
      </x:c>
      <x:c r="I34" s="85"/>
      <x:c r="J34" s="85"/>
      <x:c r="K34" s="85"/>
      <x:c r="L34" s="85"/>
    </x:row>
    <x:row r="35">
      <x:c r="G35" s="82" t="str">
        <x:v>5</x:v>
      </x:c>
      <x:c r="H35" s="85" t="str">
        <x:v>Enterprise has the strongest unit economics; Starter has the weakest CLV:CAC ratio.</x:v>
      </x:c>
      <x:c r="I35" s="85"/>
      <x:c r="J35" s="85"/>
      <x:c r="K35" s="85"/>
      <x:c r="L35" s="85"/>
    </x:row>
    <x:row r="55">
      <x:c r="G55" s="141" t="str">
        <x:v>Method notes:
• CLV = average plan MRR × average observed lifespan of churned customers.
• CAC uses the average monthly acquisition cost from the revenue summary because plan-level CAC is not provided.
• High risk = active customer with feature usage &lt;40% and NPS &lt;=4.
• Standard NRR is not calculated because churn/contraction/expansion MRR fields are unavailable.</x:v>
      </x:c>
      <x:c r="H55" s="141"/>
      <x:c r="I55" s="141"/>
      <x:c r="J55" s="141"/>
      <x:c r="K55" s="141"/>
      <x:c r="L55" s="141"/>
    </x:row>
    <x:row r="56">
      <x:c r="G56" s="141"/>
      <x:c r="H56" s="141"/>
      <x:c r="I56" s="141"/>
      <x:c r="J56" s="141"/>
      <x:c r="K56" s="141"/>
      <x:c r="L56" s="141"/>
    </x:row>
    <x:row r="57">
      <x:c r="G57" s="141"/>
      <x:c r="H57" s="141"/>
      <x:c r="I57" s="141"/>
      <x:c r="J57" s="141"/>
      <x:c r="K57" s="141"/>
      <x:c r="L57" s="141"/>
    </x:row>
    <x:row r="58">
      <x:c r="G58" s="141"/>
      <x:c r="H58" s="141"/>
      <x:c r="I58" s="141"/>
      <x:c r="J58" s="141"/>
      <x:c r="K58" s="141"/>
      <x:c r="L58" s="141"/>
    </x:row>
    <x:row r="59">
      <x:c r="G59" s="141"/>
      <x:c r="H59" s="141"/>
      <x:c r="I59" s="141"/>
      <x:c r="J59" s="141"/>
      <x:c r="K59" s="141"/>
      <x:c r="L59" s="141"/>
    </x:row>
    <x:row r="60">
      <x:c r="G60" s="141"/>
      <x:c r="H60" s="141"/>
      <x:c r="I60" s="141"/>
      <x:c r="J60" s="141"/>
      <x:c r="K60" s="141"/>
      <x:c r="L60" s="141"/>
    </x:row>
    <x:row r="61">
      <x:c r="G61" s="141"/>
      <x:c r="H61" s="141"/>
      <x:c r="I61" s="141"/>
      <x:c r="J61" s="141"/>
      <x:c r="K61" s="141"/>
      <x:c r="L61" s="141"/>
    </x:row>
    <x:row r="62">
      <x:c r="G62" s="141"/>
      <x:c r="H62" s="141"/>
      <x:c r="I62" s="141"/>
      <x:c r="J62" s="141"/>
      <x:c r="K62" s="141"/>
      <x:c r="L62" s="141"/>
    </x:row>
    <x:row r="63">
      <x:c r="G63" s="141"/>
      <x:c r="H63" s="141"/>
      <x:c r="I63" s="141"/>
      <x:c r="J63" s="141"/>
      <x:c r="K63" s="141"/>
      <x:c r="L63" s="141"/>
    </x:row>
  </x:sheetData>
  <x:mergeCells>
    <x:mergeCell ref="A1:L2"/>
    <x:mergeCell ref="A3:L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A9:F9"/>
    <x:mergeCell ref="G9:L9"/>
    <x:mergeCell ref="A28:F28"/>
    <x:mergeCell ref="G28:L28"/>
    <x:mergeCell ref="G55:L63"/>
  </x:mergeCells>
  <x:pageMargins left="0.7" right="0.7" top="0.75" bottom="0.75" header="0.3" footer="0.3"/>
  <x:drawing xmlns:r="http://schemas.openxmlformats.org/officeDocument/2006/relationships" r:id="R9432b7234c594511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6" hidden="0" customWidth="1"/>
    <x:col min="5" max="5" width="3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34" hidden="0" customWidth="1"/>
    <x:col min="13" max="13" width="12" hidden="0" customWidth="1"/>
    <x:col min="14" max="14" width="12" hidden="0" customWidth="1"/>
    <x:col min="15" max="15" width="12" hidden="0" customWidth="1"/>
    <x:col min="11" max="11" width="16" hidden="0" customWidth="1"/>
  </x:cols>
  <x:sheetData>
    <x:row r="1">
      <x:c r="A1" s="115" t="str">
        <x:v>Detailed SaaS Churn &amp; Revenue Analysis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M1" s="14" t="str">
        <x:v>Month</x:v>
      </x:c>
      <x:c r="N1" s="14" t="str">
        <x:v>Churn Rate (%)</x:v>
      </x:c>
      <x:c r="O1" s="14" t="str">
        <x:v>MRR</x:v>
      </x:c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M2" t="str">
        <x:v>Jan-22</x:v>
      </x:c>
      <x:c r="N2" s="11" t="n">
        <x:v>0</x:v>
      </x:c>
      <x:c r="O2" s="105" t="n">
        <x:v>0</x:v>
      </x:c>
    </x:row>
    <x:row r="3">
      <x:c r="A3" s="116"/>
      <x:c r="B3" s="116"/>
      <x:c r="C3" s="116"/>
      <x:c r="D3" s="116"/>
      <x:c r="E3" s="116"/>
      <x:c r="F3" s="116"/>
      <x:c r="G3" s="116"/>
      <x:c r="H3" s="116"/>
      <x:c r="I3" s="116"/>
      <x:c r="J3" s="116"/>
      <x:c r="M3" t="str">
        <x:v>Feb-22</x:v>
      </x:c>
      <x:c r="N3" s="11" t="n">
        <x:v>20</x:v>
      </x:c>
      <x:c r="O3" s="105" t="n">
        <x:v>7333.07</x:v>
      </x:c>
    </x:row>
    <x:row r="4">
      <x:c r="A4" s="117" t="str">
        <x:v>Churn Rate by Plan</x:v>
      </x:c>
      <x:c r="B4" s="117"/>
      <x:c r="C4" s="117"/>
      <x:c r="D4" s="117"/>
      <x:c r="E4" s="116"/>
      <x:c r="F4" s="117" t="str">
        <x:v>Churn Rate by Billing Cycle</x:v>
      </x:c>
      <x:c r="G4" s="117"/>
      <x:c r="H4" s="117"/>
      <x:c r="I4" s="117"/>
      <x:c r="J4" s="116"/>
      <x:c r="M4" t="str">
        <x:v>Mar-22</x:v>
      </x:c>
      <x:c r="N4" s="11" t="n">
        <x:v>0</x:v>
      </x:c>
      <x:c r="O4" s="105" t="n">
        <x:v>12301.16</x:v>
      </x:c>
    </x:row>
    <x:row r="5">
      <x:c r="A5" s="118" t="str">
        <x:v>Plan</x:v>
      </x:c>
      <x:c r="B5" s="118" t="str">
        <x:v>Customers</x:v>
      </x:c>
      <x:c r="C5" s="118" t="str">
        <x:v>Churned</x:v>
      </x:c>
      <x:c r="D5" s="118" t="str">
        <x:v>Churn Rate</x:v>
      </x:c>
      <x:c r="E5" s="116"/>
      <x:c r="F5" s="118" t="str">
        <x:v>Billing Cycle</x:v>
      </x:c>
      <x:c r="G5" s="118" t="str">
        <x:v>Customers</x:v>
      </x:c>
      <x:c r="H5" s="118" t="str">
        <x:v>Churned</x:v>
      </x:c>
      <x:c r="I5" s="118" t="str">
        <x:v>Churn Rate</x:v>
      </x:c>
      <x:c r="J5" s="116"/>
      <x:c r="M5" t="str">
        <x:v>Apr-22</x:v>
      </x:c>
      <x:c r="N5" s="11" t="n">
        <x:v>10.71</x:v>
      </x:c>
      <x:c r="O5" s="105" t="n">
        <x:v>24798.76</x:v>
      </x:c>
    </x:row>
    <x:row r="6">
      <x:c r="A6" s="116" t="str">
        <x:v>Starter</x:v>
      </x:c>
      <x:c r="B6" s="116" t="n">
        <x:f>COUNTIF(Subscriptions!B$2:B$601,A6)</x:f>
        <x:v>217</x:v>
      </x:c>
      <x:c r="C6" s="116" t="n">
        <x:f>COUNTIFS(Subscriptions!B$2:B$601,A6,Subscriptions!K$2:K$601,"Yes")</x:f>
        <x:v>153</x:v>
      </x:c>
      <x:c r="D6" s="119" t="n">
        <x:f>C6/B6</x:f>
        <x:v>0.7050691244239631</x:v>
      </x:c>
      <x:c r="E6" s="116"/>
      <x:c r="F6" s="116" t="str">
        <x:v>Monthly</x:v>
      </x:c>
      <x:c r="G6" s="116" t="n">
        <x:f>COUNTIF(Subscriptions!C$2:C$601,F6)</x:f>
        <x:v>352</x:v>
      </x:c>
      <x:c r="H6" s="116" t="n">
        <x:f>COUNTIFS(Subscriptions!C$2:C$601,F6,Subscriptions!K$2:K$601,"Yes")</x:f>
        <x:v>213</x:v>
      </x:c>
      <x:c r="I6" s="119" t="n">
        <x:f>H6/G6</x:f>
        <x:v>0.6051136363636364</x:v>
      </x:c>
      <x:c r="J6" s="116"/>
      <x:c r="M6" t="str">
        <x:v>May-22</x:v>
      </x:c>
      <x:c r="N6" s="11" t="n">
        <x:v>2.86</x:v>
      </x:c>
      <x:c r="O6" s="105" t="n">
        <x:v>29091.88</x:v>
      </x:c>
    </x:row>
    <x:row r="7">
      <x:c r="A7" s="116" t="str">
        <x:v>Professional</x:v>
      </x:c>
      <x:c r="B7" s="116" t="n">
        <x:f>COUNTIF(Subscriptions!B$2:B$601,A7)</x:f>
        <x:v>173</x:v>
      </x:c>
      <x:c r="C7" s="116" t="n">
        <x:f>COUNTIFS(Subscriptions!B$2:B$601,A7,Subscriptions!K$2:K$601,"Yes")</x:f>
        <x:v>83</x:v>
      </x:c>
      <x:c r="D7" s="119" t="n">
        <x:f>C7/B7</x:f>
        <x:v>0.4797687861271676</x:v>
      </x:c>
      <x:c r="E7" s="116"/>
      <x:c r="F7" s="116" t="str">
        <x:v>Annual</x:v>
      </x:c>
      <x:c r="G7" s="116" t="n">
        <x:f>COUNTIF(Subscriptions!C$2:C$601,F7)</x:f>
        <x:v>248</x:v>
      </x:c>
      <x:c r="H7" s="116" t="n">
        <x:f>COUNTIFS(Subscriptions!C$2:C$601,F7,Subscriptions!K$2:K$601,"Yes")</x:f>
        <x:v>100</x:v>
      </x:c>
      <x:c r="I7" s="119" t="n">
        <x:f>H7/G7</x:f>
        <x:v>0.4032258064516129</x:v>
      </x:c>
      <x:c r="J7" s="116"/>
      <x:c r="M7" t="str">
        <x:v>Jun-22</x:v>
      </x:c>
      <x:c r="N7" s="11" t="n">
        <x:v>4.35</x:v>
      </x:c>
      <x:c r="O7" s="105" t="n">
        <x:v>38919.93</x:v>
      </x:c>
    </x:row>
    <x:row r="8">
      <x:c r="A8" s="116" t="str">
        <x:v>Business</x:v>
      </x:c>
      <x:c r="B8" s="116" t="n">
        <x:f>COUNTIF(Subscriptions!B$2:B$601,A8)</x:f>
        <x:v>160</x:v>
      </x:c>
      <x:c r="C8" s="116" t="n">
        <x:f>COUNTIFS(Subscriptions!B$2:B$601,A8,Subscriptions!K$2:K$601,"Yes")</x:f>
        <x:v>66</x:v>
      </x:c>
      <x:c r="D8" s="119" t="n">
        <x:f>C8/B8</x:f>
        <x:v>0.4125</x:v>
      </x:c>
      <x:c r="E8" s="116"/>
      <x:c r="F8" s="116"/>
      <x:c r="G8" s="116"/>
      <x:c r="H8" s="116"/>
      <x:c r="I8" s="116"/>
      <x:c r="J8" s="116"/>
      <x:c r="M8" t="str">
        <x:v>Jul-22</x:v>
      </x:c>
      <x:c r="N8" s="11" t="n">
        <x:v>11.32</x:v>
      </x:c>
      <x:c r="O8" s="105" t="n">
        <x:v>45097.72</x:v>
      </x:c>
    </x:row>
    <x:row r="9">
      <x:c r="A9" s="116" t="str">
        <x:v>Enterprise</x:v>
      </x:c>
      <x:c r="B9" s="116" t="n">
        <x:f>COUNTIF(Subscriptions!B$2:B$601,A9)</x:f>
        <x:v>50</x:v>
      </x:c>
      <x:c r="C9" s="116" t="n">
        <x:f>COUNTIFS(Subscriptions!B$2:B$601,A9,Subscriptions!K$2:K$601,"Yes")</x:f>
        <x:v>11</x:v>
      </x:c>
      <x:c r="D9" s="119" t="n">
        <x:f>C9/B9</x:f>
        <x:v>0.22</x:v>
      </x:c>
      <x:c r="E9" s="116"/>
      <x:c r="F9" s="116"/>
      <x:c r="G9" s="116"/>
      <x:c r="H9" s="116"/>
      <x:c r="I9" s="116"/>
      <x:c r="J9" s="116"/>
      <x:c r="M9" t="str">
        <x:v>Aug-22</x:v>
      </x:c>
      <x:c r="N9" s="11" t="n">
        <x:v>10.53</x:v>
      </x:c>
      <x:c r="O9" s="105" t="n">
        <x:v>54140.41</x:v>
      </x:c>
    </x:row>
    <x:row r="10">
      <x:c r="A10" s="116"/>
      <x:c r="B10" s="116"/>
      <x:c r="C10" s="116"/>
      <x:c r="D10" s="116"/>
      <x:c r="E10" s="116"/>
      <x:c r="F10" s="116"/>
      <x:c r="G10" s="116"/>
      <x:c r="H10" s="116"/>
      <x:c r="I10" s="116"/>
      <x:c r="J10" s="116"/>
      <x:c r="M10" t="str">
        <x:v>Sep-22</x:v>
      </x:c>
      <x:c r="N10" s="11" t="n">
        <x:v>7.46</x:v>
      </x:c>
      <x:c r="O10" s="105" t="n">
        <x:v>65198</x:v>
      </x:c>
    </x:row>
    <x:row r="11">
      <x:c r="A11" s="116"/>
      <x:c r="B11" s="116"/>
      <x:c r="C11" s="116"/>
      <x:c r="D11" s="116"/>
      <x:c r="E11" s="116"/>
      <x:c r="F11" s="116"/>
      <x:c r="G11" s="116"/>
      <x:c r="H11" s="116"/>
      <x:c r="I11" s="116"/>
      <x:c r="J11" s="116"/>
      <x:c r="M11" t="str">
        <x:v>Oct-22</x:v>
      </x:c>
      <x:c r="N11" s="11" t="n">
        <x:v>6.58</x:v>
      </x:c>
      <x:c r="O11" s="105" t="n">
        <x:v>86824.16</x:v>
      </x:c>
    </x:row>
    <x:row r="12">
      <x:c r="A12" s="117" t="str">
        <x:v>Churn Rate by Company Size</x:v>
      </x:c>
      <x:c r="B12" s="117"/>
      <x:c r="C12" s="117"/>
      <x:c r="D12" s="117"/>
      <x:c r="E12" s="116"/>
      <x:c r="F12" s="117" t="str">
        <x:v>Churn Rate by Acquisition Channel</x:v>
      </x:c>
      <x:c r="G12" s="117"/>
      <x:c r="H12" s="117"/>
      <x:c r="I12" s="117"/>
      <x:c r="J12" s="116"/>
      <x:c r="M12" t="str">
        <x:v>Nov-22</x:v>
      </x:c>
      <x:c r="N12" s="11" t="n">
        <x:v>5.75</x:v>
      </x:c>
      <x:c r="O12" s="105" t="n">
        <x:v>93168.11</x:v>
      </x:c>
    </x:row>
    <x:row r="13">
      <x:c r="A13" s="118" t="str">
        <x:v>Company Size</x:v>
      </x:c>
      <x:c r="B13" s="118" t="str">
        <x:v>Customers</x:v>
      </x:c>
      <x:c r="C13" s="118" t="str">
        <x:v>Churned</x:v>
      </x:c>
      <x:c r="D13" s="118" t="str">
        <x:v>Churn Rate</x:v>
      </x:c>
      <x:c r="E13" s="116"/>
      <x:c r="F13" s="118" t="str">
        <x:v>Channel</x:v>
      </x:c>
      <x:c r="G13" s="118" t="str">
        <x:v>Customers</x:v>
      </x:c>
      <x:c r="H13" s="118" t="str">
        <x:v>Churned</x:v>
      </x:c>
      <x:c r="I13" s="118" t="str">
        <x:v>Churn Rate</x:v>
      </x:c>
      <x:c r="J13" s="116"/>
      <x:c r="M13" t="str">
        <x:v>Dec-22</x:v>
      </x:c>
      <x:c r="N13" s="11" t="n">
        <x:v>2.11</x:v>
      </x:c>
      <x:c r="O13" s="105" t="n">
        <x:v>96100.66</x:v>
      </x:c>
    </x:row>
    <x:row r="14">
      <x:c r="A14" s="116" t="str">
        <x:v>1-10</x:v>
      </x:c>
      <x:c r="B14" s="116" t="n">
        <x:f>COUNTIF(Subscriptions!E$2:E$601,A14)</x:f>
        <x:v>157</x:v>
      </x:c>
      <x:c r="C14" s="116" t="n">
        <x:f>COUNTIFS(Subscriptions!E$2:E$601,A14,Subscriptions!K$2:K$601,"Yes")</x:f>
        <x:v>89</x:v>
      </x:c>
      <x:c r="D14" s="119" t="n">
        <x:f>C14/B14</x:f>
        <x:v>0.5668789808917197</x:v>
      </x:c>
      <x:c r="E14" s="116"/>
      <x:c r="F14" s="116" t="str">
        <x:v>Referral</x:v>
      </x:c>
      <x:c r="G14" s="116" t="n">
        <x:f>COUNTIF(Subscriptions!H$2:H$601,F14)</x:f>
        <x:v>124</x:v>
      </x:c>
      <x:c r="H14" s="116" t="n">
        <x:f>COUNTIFS(Subscriptions!H$2:H$601,F14,Subscriptions!K$2:K$601,"Yes")</x:f>
        <x:v>76</x:v>
      </x:c>
      <x:c r="I14" s="119" t="n">
        <x:f>H14/G14</x:f>
        <x:v>0.6129032258064516</x:v>
      </x:c>
      <x:c r="J14" s="116"/>
      <x:c r="M14" t="str">
        <x:v>Jan-23</x:v>
      </x:c>
      <x:c r="N14" s="11" t="n">
        <x:v>3.74</x:v>
      </x:c>
      <x:c r="O14" s="105" t="n">
        <x:v>104773.35</x:v>
      </x:c>
    </x:row>
    <x:row r="15">
      <x:c r="A15" s="116" t="str">
        <x:v>11-50</x:v>
      </x:c>
      <x:c r="B15" s="116" t="n">
        <x:f>COUNTIF(Subscriptions!E$2:E$601,A15)</x:f>
        <x:v>176</x:v>
      </x:c>
      <x:c r="C15" s="116" t="n">
        <x:f>COUNTIFS(Subscriptions!E$2:E$601,A15,Subscriptions!K$2:K$601,"Yes")</x:f>
        <x:v>93</x:v>
      </x:c>
      <x:c r="D15" s="119" t="n">
        <x:f>C15/B15</x:f>
        <x:v>0.5284090909090909</x:v>
      </x:c>
      <x:c r="E15" s="116"/>
      <x:c r="F15" s="116" t="str">
        <x:v>Partner</x:v>
      </x:c>
      <x:c r="G15" s="116" t="n">
        <x:f>COUNTIF(Subscriptions!H$2:H$601,F15)</x:f>
        <x:v>100</x:v>
      </x:c>
      <x:c r="H15" s="116" t="n">
        <x:f>COUNTIFS(Subscriptions!H$2:H$601,F15,Subscriptions!K$2:K$601,"Yes")</x:f>
        <x:v>58</x:v>
      </x:c>
      <x:c r="I15" s="119" t="n">
        <x:f>H15/G15</x:f>
        <x:v>0.58</x:v>
      </x:c>
      <x:c r="J15" s="116"/>
      <x:c r="M15" t="str">
        <x:v>Feb-23</x:v>
      </x:c>
      <x:c r="N15" s="11" t="n">
        <x:v>2.61</x:v>
      </x:c>
      <x:c r="O15" s="105" t="n">
        <x:v>115539.13</x:v>
      </x:c>
    </x:row>
    <x:row r="16">
      <x:c r="A16" s="116" t="str">
        <x:v>51-200</x:v>
      </x:c>
      <x:c r="B16" s="116" t="n">
        <x:f>COUNTIF(Subscriptions!E$2:E$601,A16)</x:f>
        <x:v>141</x:v>
      </x:c>
      <x:c r="C16" s="116" t="n">
        <x:f>COUNTIFS(Subscriptions!E$2:E$601,A16,Subscriptions!K$2:K$601,"Yes")</x:f>
        <x:v>60</x:v>
      </x:c>
      <x:c r="D16" s="119" t="n">
        <x:f>C16/B16</x:f>
        <x:v>0.425531914893617</x:v>
      </x:c>
      <x:c r="E16" s="116"/>
      <x:c r="F16" s="116" t="str">
        <x:v>Social Media</x:v>
      </x:c>
      <x:c r="G16" s="116" t="n">
        <x:f>COUNTIF(Subscriptions!H$2:H$601,F16)</x:f>
        <x:v>52</x:v>
      </x:c>
      <x:c r="H16" s="116" t="n">
        <x:f>COUNTIFS(Subscriptions!H$2:H$601,F16,Subscriptions!K$2:K$601,"Yes")</x:f>
        <x:v>29</x:v>
      </x:c>
      <x:c r="I16" s="119" t="n">
        <x:f>H16/G16</x:f>
        <x:v>0.5576923076923077</x:v>
      </x:c>
      <x:c r="J16" s="116"/>
      <x:c r="M16" t="str">
        <x:v>Mar-23</x:v>
      </x:c>
      <x:c r="N16" s="11" t="n">
        <x:v>1.63</x:v>
      </x:c>
      <x:c r="O16" s="105" t="n">
        <x:v>125258.61</x:v>
      </x:c>
    </x:row>
    <x:row r="17">
      <x:c r="A17" s="116" t="str">
        <x:v>201-500</x:v>
      </x:c>
      <x:c r="B17" s="116" t="n">
        <x:f>COUNTIF(Subscriptions!E$2:E$601,A17)</x:f>
        <x:v>88</x:v>
      </x:c>
      <x:c r="C17" s="116" t="n">
        <x:f>COUNTIFS(Subscriptions!E$2:E$601,A17,Subscriptions!K$2:K$601,"Yes")</x:f>
        <x:v>47</x:v>
      </x:c>
      <x:c r="D17" s="119" t="n">
        <x:f>C17/B17</x:f>
        <x:v>0.5340909090909091</x:v>
      </x:c>
      <x:c r="E17" s="116"/>
      <x:c r="F17" s="116" t="str">
        <x:v>Paid Ads</x:v>
      </x:c>
      <x:c r="G17" s="116" t="n">
        <x:f>COUNTIF(Subscriptions!H$2:H$601,F17)</x:f>
        <x:v>115</x:v>
      </x:c>
      <x:c r="H17" s="116" t="n">
        <x:f>COUNTIFS(Subscriptions!H$2:H$601,F17,Subscriptions!K$2:K$601,"Yes")</x:f>
        <x:v>61</x:v>
      </x:c>
      <x:c r="I17" s="119" t="n">
        <x:f>H17/G17</x:f>
        <x:v>0.5304347826086957</x:v>
      </x:c>
      <x:c r="J17" s="116"/>
      <x:c r="M17" t="str">
        <x:v>Apr-23</x:v>
      </x:c>
      <x:c r="N17" s="11" t="n">
        <x:v>6.4</x:v>
      </x:c>
      <x:c r="O17" s="105" t="n">
        <x:v>129471.28</x:v>
      </x:c>
    </x:row>
    <x:row r="18">
      <x:c r="A18" s="116" t="str">
        <x:v>500+</x:v>
      </x:c>
      <x:c r="B18" s="116" t="n">
        <x:f>COUNTIF(Subscriptions!E$2:E$601,A18)</x:f>
        <x:v>38</x:v>
      </x:c>
      <x:c r="C18" s="116" t="n">
        <x:f>COUNTIFS(Subscriptions!E$2:E$601,A18,Subscriptions!K$2:K$601,"Yes")</x:f>
        <x:v>24</x:v>
      </x:c>
      <x:c r="D18" s="119" t="n">
        <x:f>C18/B18</x:f>
        <x:v>0.631578947368421</x:v>
      </x:c>
      <x:c r="E18" s="116"/>
      <x:c r="F18" s="116" t="str">
        <x:v>Organic Search</x:v>
      </x:c>
      <x:c r="G18" s="116" t="n">
        <x:f>COUNTIF(Subscriptions!H$2:H$601,F18)</x:f>
        <x:v>153</x:v>
      </x:c>
      <x:c r="H18" s="116" t="n">
        <x:f>COUNTIFS(Subscriptions!H$2:H$601,F18,Subscriptions!K$2:K$601,"Yes")</x:f>
        <x:v>67</x:v>
      </x:c>
      <x:c r="I18" s="119" t="n">
        <x:f>H18/G18</x:f>
        <x:v>0.43790849673202614</x:v>
      </x:c>
      <x:c r="J18" s="116"/>
      <x:c r="M18" t="str">
        <x:v>May-23</x:v>
      </x:c>
      <x:c r="N18" s="11" t="n">
        <x:v>3.01</x:v>
      </x:c>
      <x:c r="O18" s="105" t="n">
        <x:v>142401.69</x:v>
      </x:c>
    </x:row>
    <x:row r="19">
      <x:c r="A19" s="116"/>
      <x:c r="B19" s="116"/>
      <x:c r="C19" s="116"/>
      <x:c r="D19" s="116"/>
      <x:c r="E19" s="116"/>
      <x:c r="F19" s="116" t="str">
        <x:v>Direct Sales</x:v>
      </x:c>
      <x:c r="G19" s="116" t="n">
        <x:f>COUNTIF(Subscriptions!H$2:H$601,F19)</x:f>
        <x:v>56</x:v>
      </x:c>
      <x:c r="H19" s="116" t="n">
        <x:f>COUNTIFS(Subscriptions!H$2:H$601,F19,Subscriptions!K$2:K$601,"Yes")</x:f>
        <x:v>22</x:v>
      </x:c>
      <x:c r="I19" s="119" t="n">
        <x:f>H19/G19</x:f>
        <x:v>0.39285714285714285</x:v>
      </x:c>
      <x:c r="J19" s="116"/>
      <x:c r="M19" t="str">
        <x:v>Jun-23</x:v>
      </x:c>
      <x:c r="N19" s="11" t="n">
        <x:v>7.14</x:v>
      </x:c>
      <x:c r="O19" s="105" t="n">
        <x:v>142966.32</x:v>
      </x:c>
    </x:row>
    <x:row r="20">
      <x:c r="A20" s="116"/>
      <x:c r="B20" s="116"/>
      <x:c r="C20" s="116"/>
      <x:c r="D20" s="116"/>
      <x:c r="E20" s="116"/>
      <x:c r="F20" s="116"/>
      <x:c r="G20" s="116"/>
      <x:c r="H20" s="116"/>
      <x:c r="I20" s="116"/>
      <x:c r="J20" s="116"/>
      <x:c r="M20" t="str">
        <x:v>Jul-23</x:v>
      </x:c>
      <x:c r="N20" s="11" t="n">
        <x:v>4.83</x:v>
      </x:c>
      <x:c r="O20" s="105" t="n">
        <x:v>147630.36</x:v>
      </x:c>
    </x:row>
    <x:row r="21">
      <x:c r="A21" s="116"/>
      <x:c r="B21" s="116"/>
      <x:c r="C21" s="116"/>
      <x:c r="D21" s="116"/>
      <x:c r="E21" s="116"/>
      <x:c r="F21" s="116"/>
      <x:c r="G21" s="116"/>
      <x:c r="H21" s="116"/>
      <x:c r="I21" s="116"/>
      <x:c r="J21" s="116"/>
      <x:c r="M21" t="str">
        <x:v>Aug-23</x:v>
      </x:c>
      <x:c r="N21" s="11" t="n">
        <x:v>4.46</x:v>
      </x:c>
      <x:c r="O21" s="105" t="n">
        <x:v>158920.7</x:v>
      </x:c>
    </x:row>
    <x:row r="22">
      <x:c r="A22" s="117" t="str">
        <x:v>Top Churn Reasons</x:v>
      </x:c>
      <x:c r="B22" s="117"/>
      <x:c r="C22" s="117"/>
      <x:c r="D22" s="117"/>
      <x:c r="E22" s="116"/>
      <x:c r="F22" s="117" t="str">
        <x:v>Customer Behavior vs Churn</x:v>
      </x:c>
      <x:c r="G22" s="117"/>
      <x:c r="H22" s="117"/>
      <x:c r="I22" s="117"/>
      <x:c r="J22" s="117"/>
      <x:c r="M22" t="str">
        <x:v>Sep-23</x:v>
      </x:c>
      <x:c r="N22" s="11" t="n">
        <x:v>4.38</x:v>
      </x:c>
      <x:c r="O22" s="105" t="n">
        <x:v>162830.02</x:v>
      </x:c>
    </x:row>
    <x:row r="23">
      <x:c r="A23" s="118" t="str">
        <x:v>Reason</x:v>
      </x:c>
      <x:c r="B23" s="118" t="str">
        <x:v>Count</x:v>
      </x:c>
      <x:c r="C23" s="118" t="str">
        <x:v>% of Churned</x:v>
      </x:c>
      <x:c r="D23" s="118" t="str">
        <x:v>Rank</x:v>
      </x:c>
      <x:c r="E23" s="116"/>
      <x:c r="F23" s="118" t="str">
        <x:v>Segment</x:v>
      </x:c>
      <x:c r="G23" s="118" t="str">
        <x:v>Customers</x:v>
      </x:c>
      <x:c r="H23" s="118" t="str">
        <x:v>Churned</x:v>
      </x:c>
      <x:c r="I23" s="118" t="str">
        <x:v>Churn Rate</x:v>
      </x:c>
      <x:c r="J23" s="118" t="str">
        <x:v>Active At Risk</x:v>
      </x:c>
      <x:c r="M23" t="str">
        <x:v>Oct-23</x:v>
      </x:c>
      <x:c r="N23" s="11" t="n">
        <x:v>2.94</x:v>
      </x:c>
      <x:c r="O23" s="105" t="n">
        <x:v>170763.72</x:v>
      </x:c>
    </x:row>
    <x:row r="24">
      <x:c r="A24" s="116" t="str">
        <x:v>Budget Cuts</x:v>
      </x:c>
      <x:c r="B24" s="116" t="n">
        <x:f>COUNTIFS(Subscriptions!M$2:M$601,A24,Subscriptions!K$2:K$601,"Yes")</x:f>
        <x:v>53</x:v>
      </x:c>
      <x:c r="C24" s="120" t="n">
        <x:f>B24/COUNTIF(Subscriptions!K$2:K$601,"Yes")</x:f>
        <x:v>0.16932907348242812</x:v>
      </x:c>
      <x:c r="D24" s="116" t="n">
        <x:f>RANK.EQ(B24,$B$24:$B$30,0)</x:f>
        <x:v>1</x:v>
      </x:c>
      <x:c r="E24" s="116"/>
      <x:c r="F24" s="116" t="str">
        <x:v>Feature usage &lt;30%</x:v>
      </x:c>
      <x:c r="G24" s="116" t="n">
        <x:f>COUNTIF(Subscriptions!P$2:P$601,"&lt;30")</x:f>
        <x:v>223</x:v>
      </x:c>
      <x:c r="H24" s="116" t="n">
        <x:f>COUNTIFS(Subscriptions!P$2:P$601,"&lt;30",Subscriptions!K$2:K$601,"Yes")</x:f>
        <x:v>181</x:v>
      </x:c>
      <x:c r="I24" s="120" t="n">
        <x:f>H24/G24</x:f>
        <x:v>0.8116591928251121</x:v>
      </x:c>
      <x:c r="J24" s="116" t="n">
        <x:f>COUNTIFS(Subscriptions!P$2:P$601,"&lt;30",Subscriptions!K$2:K$601,"No")</x:f>
        <x:v>42</x:v>
      </x:c>
      <x:c r="M24" t="str">
        <x:v>Nov-23</x:v>
      </x:c>
      <x:c r="N24" s="11" t="n">
        <x:v>4.42</x:v>
      </x:c>
      <x:c r="O24" s="105" t="n">
        <x:v>184058.29</x:v>
      </x:c>
    </x:row>
    <x:row r="25">
      <x:c r="A25" s="116" t="str">
        <x:v>Price Too High</x:v>
      </x:c>
      <x:c r="B25" s="116" t="n">
        <x:f>COUNTIFS(Subscriptions!M$2:M$601,A25,Subscriptions!K$2:K$601,"Yes")</x:f>
        <x:v>51</x:v>
      </x:c>
      <x:c r="C25" s="120" t="n">
        <x:f>B25/COUNTIF(Subscriptions!K$2:K$601,"Yes")</x:f>
        <x:v>0.16293929712460065</x:v>
      </x:c>
      <x:c r="D25" s="116" t="n">
        <x:f>RANK.EQ(B25,$B$24:$B$30,0)</x:f>
        <x:v>2</x:v>
      </x:c>
      <x:c r="E25" s="116"/>
      <x:c r="F25" s="116" t="str">
        <x:v>Feature usage 30-49%</x:v>
      </x:c>
      <x:c r="G25" s="116" t="n">
        <x:f>COUNTIFS(Subscriptions!P$2:P$601,"&gt;=30",Subscriptions!P$2:P$601,"&lt;50")</x:f>
        <x:v>217</x:v>
      </x:c>
      <x:c r="H25" s="116" t="n">
        <x:f>COUNTIFS(Subscriptions!P$2:P$601,"&gt;=30",Subscriptions!P$2:P$601,"&lt;50",Subscriptions!K$2:K$601,"Yes")</x:f>
        <x:v>127</x:v>
      </x:c>
      <x:c r="I25" s="120" t="n">
        <x:f>H25/G25</x:f>
        <x:v>0.5852534562211982</x:v>
      </x:c>
      <x:c r="J25" s="116" t="n">
        <x:f>COUNTIFS(Subscriptions!P$2:P$601,"&gt;=30",Subscriptions!P$2:P$601,"&lt;50",Subscriptions!K$2:K$601,"No")</x:f>
        <x:v>90</x:v>
      </x:c>
      <x:c r="M25" t="str">
        <x:v>Dec-23</x:v>
      </x:c>
      <x:c r="N25" s="11" t="n">
        <x:v>3.83</x:v>
      </x:c>
      <x:c r="O25" s="105" t="n">
        <x:v>189579.35</x:v>
      </x:c>
    </x:row>
    <x:row r="26">
      <x:c r="A26" s="116" t="str">
        <x:v>Company Closed</x:v>
      </x:c>
      <x:c r="B26" s="116" t="n">
        <x:f>COUNTIFS(Subscriptions!M$2:M$601,A26,Subscriptions!K$2:K$601,"Yes")</x:f>
        <x:v>48</x:v>
      </x:c>
      <x:c r="C26" s="120" t="n">
        <x:f>B26/COUNTIF(Subscriptions!K$2:K$601,"Yes")</x:f>
        <x:v>0.15335463258785942</x:v>
      </x:c>
      <x:c r="D26" s="116" t="n">
        <x:f>RANK.EQ(B26,$B$24:$B$30,0)</x:f>
        <x:v>3</x:v>
      </x:c>
      <x:c r="E26" s="116"/>
      <x:c r="F26" s="116" t="str">
        <x:v>Feature usage 50-69%</x:v>
      </x:c>
      <x:c r="G26" s="116" t="n">
        <x:f>COUNTIFS(Subscriptions!P$2:P$601,"&gt;=50",Subscriptions!P$2:P$601,"&lt;70")</x:f>
        <x:v>65</x:v>
      </x:c>
      <x:c r="H26" s="116" t="n">
        <x:f>COUNTIFS(Subscriptions!P$2:P$601,"&gt;=50",Subscriptions!P$2:P$601,"&lt;70",Subscriptions!K$2:K$601,"Yes")</x:f>
        <x:v>5</x:v>
      </x:c>
      <x:c r="I26" s="120" t="n">
        <x:f>H26/G26</x:f>
        <x:v>0.07692307692307693</x:v>
      </x:c>
      <x:c r="J26" s="116" t="n">
        <x:f>COUNTIFS(Subscriptions!P$2:P$601,"&gt;=50",Subscriptions!P$2:P$601,"&lt;70",Subscriptions!K$2:K$601,"No")</x:f>
        <x:v>60</x:v>
      </x:c>
      <x:c r="M26" t="str">
        <x:v>Jan-24</x:v>
      </x:c>
      <x:c r="N26" s="11" t="n">
        <x:v>3.76</x:v>
      </x:c>
      <x:c r="O26" s="105" t="n">
        <x:v>191783.54</x:v>
      </x:c>
    </x:row>
    <x:row r="27">
      <x:c r="A27" s="116" t="str">
        <x:v>Poor Support</x:v>
      </x:c>
      <x:c r="B27" s="116" t="n">
        <x:f>COUNTIFS(Subscriptions!M$2:M$601,A27,Subscriptions!K$2:K$601,"Yes")</x:f>
        <x:v>42</x:v>
      </x:c>
      <x:c r="C27" s="120" t="n">
        <x:f>B27/COUNTIF(Subscriptions!K$2:K$601,"Yes")</x:f>
        <x:v>0.134185303514377</x:v>
      </x:c>
      <x:c r="D27" s="116" t="n">
        <x:f>RANK.EQ(B27,$B$24:$B$30,0)</x:f>
        <x:v>4</x:v>
      </x:c>
      <x:c r="E27" s="116"/>
      <x:c r="F27" s="116" t="str">
        <x:v>Feature usage 70%+</x:v>
      </x:c>
      <x:c r="G27" s="116" t="n">
        <x:f>COUNTIF(Subscriptions!P$2:P$601,"&gt;=70")</x:f>
        <x:v>95</x:v>
      </x:c>
      <x:c r="H27" s="116" t="n">
        <x:f>COUNTIFS(Subscriptions!P$2:P$601,"&gt;=70",Subscriptions!K$2:K$601,"Yes")</x:f>
        <x:v>0</x:v>
      </x:c>
      <x:c r="I27" s="120" t="n">
        <x:f>H27/G27</x:f>
        <x:v>0</x:v>
      </x:c>
      <x:c r="J27" s="116" t="n">
        <x:f>COUNTIFS(Subscriptions!P$2:P$601,"&gt;=70",Subscriptions!K$2:K$601,"No")</x:f>
        <x:v>95</x:v>
      </x:c>
      <x:c r="M27" t="str">
        <x:v>Feb-24</x:v>
      </x:c>
      <x:c r="N27" s="11" t="n">
        <x:v>4.26</x:v>
      </x:c>
      <x:c r="O27" s="105" t="n">
        <x:v>192379.41</x:v>
      </x:c>
    </x:row>
    <x:row r="28">
      <x:c r="A28" s="116" t="str">
        <x:v>No Longer Needed</x:v>
      </x:c>
      <x:c r="B28" s="116" t="n">
        <x:f>COUNTIFS(Subscriptions!M$2:M$601,A28,Subscriptions!K$2:K$601,"Yes")</x:f>
        <x:v>41</x:v>
      </x:c>
      <x:c r="C28" s="120" t="n">
        <x:f>B28/COUNTIF(Subscriptions!K$2:K$601,"Yes")</x:f>
        <x:v>0.13099041533546327</x:v>
      </x:c>
      <x:c r="D28" s="116" t="n">
        <x:f>RANK.EQ(B28,$B$24:$B$30,0)</x:f>
        <x:v>5</x:v>
      </x:c>
      <x:c r="E28" s="116"/>
      <x:c r="F28" s="116"/>
      <x:c r="G28" s="116"/>
      <x:c r="H28" s="116"/>
      <x:c r="I28" s="116"/>
      <x:c r="J28" s="116"/>
      <x:c r="M28" t="str">
        <x:v>Mar-24</x:v>
      </x:c>
      <x:c r="N28" s="11" t="n">
        <x:v>2.12</x:v>
      </x:c>
      <x:c r="O28" s="105" t="n">
        <x:v>196219.33</x:v>
      </x:c>
    </x:row>
    <x:row r="29">
      <x:c r="A29" s="116" t="str">
        <x:v>Missing Features</x:v>
      </x:c>
      <x:c r="B29" s="116" t="n">
        <x:f>COUNTIFS(Subscriptions!M$2:M$601,A29,Subscriptions!K$2:K$601,"Yes")</x:f>
        <x:v>40</x:v>
      </x:c>
      <x:c r="C29" s="120" t="n">
        <x:f>B29/COUNTIF(Subscriptions!K$2:K$601,"Yes")</x:f>
        <x:v>0.12779552715654952</x:v>
      </x:c>
      <x:c r="D29" s="116" t="n">
        <x:f>RANK.EQ(B29,$B$24:$B$30,0)</x:f>
        <x:v>6</x:v>
      </x:c>
      <x:c r="E29" s="116"/>
      <x:c r="F29" s="121" t="str">
        <x:v>High-risk rule</x:v>
      </x:c>
      <x:c r="G29" s="121" t="str">
        <x:v>Feature usage &lt;40% AND NPS &lt;=4 AND currently active</x:v>
      </x:c>
      <x:c r="H29" s="121"/>
      <x:c r="I29" s="121"/>
      <x:c r="J29" s="121"/>
      <x:c r="M29" t="str">
        <x:v>Apr-24</x:v>
      </x:c>
      <x:c r="N29" s="11" t="n">
        <x:v>3.94</x:v>
      </x:c>
      <x:c r="O29" s="105" t="n">
        <x:v>200076.61</x:v>
      </x:c>
    </x:row>
    <x:row r="30">
      <x:c r="A30" s="116" t="str">
        <x:v>Switched Competitor</x:v>
      </x:c>
      <x:c r="B30" s="116" t="n">
        <x:f>COUNTIFS(Subscriptions!M$2:M$601,A30,Subscriptions!K$2:K$601,"Yes")</x:f>
        <x:v>38</x:v>
      </x:c>
      <x:c r="C30" s="120" t="n">
        <x:f>B30/COUNTIF(Subscriptions!K$2:K$601,"Yes")</x:f>
        <x:v>0.12140575079872204</x:v>
      </x:c>
      <x:c r="D30" s="116" t="n">
        <x:f>RANK.EQ(B30,$B$24:$B$30,0)</x:f>
        <x:v>7</x:v>
      </x:c>
      <x:c r="E30" s="116"/>
      <x:c r="F30" s="116" t="str">
        <x:v>High-risk active customers</x:v>
      </x:c>
      <x:c r="G30" s="116" t="n">
        <x:f>COUNTIF(Subscriptions!T$2:T$601,"High Risk")</x:f>
        <x:v>31</x:v>
      </x:c>
      <x:c r="H30" s="116"/>
      <x:c r="I30" s="116"/>
      <x:c r="J30" s="116"/>
      <x:c r="M30" t="str">
        <x:v>May-24</x:v>
      </x:c>
      <x:c r="N30" s="11" t="n">
        <x:v>3.88</x:v>
      </x:c>
      <x:c r="O30" s="105" t="n">
        <x:v>217117.58</x:v>
      </x:c>
    </x:row>
    <x:row r="31">
      <x:c r="A31" s="116"/>
      <x:c r="B31" s="116"/>
      <x:c r="C31" s="116"/>
      <x:c r="D31" s="116"/>
      <x:c r="E31" s="116"/>
      <x:c r="F31" s="116"/>
      <x:c r="G31" s="116"/>
      <x:c r="H31" s="116"/>
      <x:c r="I31" s="116"/>
      <x:c r="J31" s="116"/>
      <x:c r="M31" t="str">
        <x:v>Jun-24</x:v>
      </x:c>
      <x:c r="N31" s="11" t="n">
        <x:v>4.23</x:v>
      </x:c>
      <x:c r="O31" s="105" t="n">
        <x:v>215810.52</x:v>
      </x:c>
    </x:row>
    <x:row r="32">
      <x:c r="A32" s="116"/>
      <x:c r="B32" s="116"/>
      <x:c r="C32" s="116"/>
      <x:c r="D32" s="116"/>
      <x:c r="E32" s="116"/>
      <x:c r="F32" s="116"/>
      <x:c r="G32" s="116"/>
      <x:c r="H32" s="116"/>
      <x:c r="I32" s="116"/>
      <x:c r="J32" s="116"/>
      <x:c r="M32" t="str">
        <x:v>Jul-24</x:v>
      </x:c>
      <x:c r="N32" s="11" t="n">
        <x:v>3.7</x:v>
      </x:c>
      <x:c r="O32" s="105" t="n">
        <x:v>222303.36</x:v>
      </x:c>
    </x:row>
    <x:row r="33">
      <x:c r="A33" s="117" t="str">
        <x:v>Unit Economics by Plan</x:v>
      </x:c>
      <x:c r="B33" s="117"/>
      <x:c r="C33" s="117"/>
      <x:c r="D33" s="117"/>
      <x:c r="E33" s="117"/>
      <x:c r="F33" s="117"/>
      <x:c r="G33" s="116"/>
      <x:c r="H33" s="117" t="str">
        <x:v>Revenue Trend Summary</x:v>
      </x:c>
      <x:c r="I33" s="117"/>
      <x:c r="J33" s="117"/>
      <x:c r="M33" t="str">
        <x:v>Aug-24</x:v>
      </x:c>
      <x:c r="N33" s="11" t="n">
        <x:v>3.14</x:v>
      </x:c>
      <x:c r="O33" s="105" t="n">
        <x:v>242222.62</x:v>
      </x:c>
    </x:row>
    <x:row r="34">
      <x:c r="A34" s="118" t="str">
        <x:v>Plan</x:v>
      </x:c>
      <x:c r="B34" s="118" t="str">
        <x:v>Avg MRR</x:v>
      </x:c>
      <x:c r="C34" s="118" t="str">
        <x:v>Avg Churned Lifespan (Months)</x:v>
      </x:c>
      <x:c r="D34" s="118" t="str">
        <x:v>Estimated CLV</x:v>
      </x:c>
      <x:c r="E34" s="118" t="str">
        <x:v>Avg CAC</x:v>
      </x:c>
      <x:c r="F34" s="118" t="str">
        <x:v>CLV:CAC</x:v>
      </x:c>
      <x:c r="G34" s="116"/>
      <x:c r="H34" s="118" t="str">
        <x:v>Metric</x:v>
      </x:c>
      <x:c r="I34" s="118" t="str">
        <x:v>Value</x:v>
      </x:c>
      <x:c r="J34" s="118" t="str">
        <x:v>Note</x:v>
      </x:c>
      <x:c r="M34" t="str">
        <x:v>Sep-24</x:v>
      </x:c>
      <x:c r="N34" s="11" t="n">
        <x:v>3.1</x:v>
      </x:c>
      <x:c r="O34" s="105" t="n">
        <x:v>234749.84</x:v>
      </x:c>
    </x:row>
    <x:row r="35">
      <x:c r="A35" s="116" t="str">
        <x:v>Starter</x:v>
      </x:c>
      <x:c r="B35" s="122" t="n">
        <x:f>SUMIF(Subscriptions!B$2:B$601,A35,Subscriptions!G$2:G$601)/COUNTIF(Subscriptions!B$2:B$601,A35)</x:f>
        <x:v>215.54359447004606</x:v>
      </x:c>
      <x:c r="C35" s="123" t="n">
        <x:f>SUMIFS(Subscriptions!S$2:S$601,Subscriptions!B$2:B$601,A35)/COUNTIFS(Subscriptions!B$2:B$601,A35,Subscriptions!K$2:K$601,"Yes")</x:f>
        <x:v>6.732321402209072</x:v>
      </x:c>
      <x:c r="D35" s="124" t="n">
        <x:f>B35*C35</x:f>
        <x:v>1451.108754159764</x:v>
      </x:c>
      <x:c r="E35" s="124" t="n">
        <x:f>AVERAGE(Monthly_revenue!H$2:H$49)</x:f>
        <x:v>200.04062499999998</x:v>
      </x:c>
      <x:c r="F35" s="125" t="n">
        <x:f>D35/E35</x:f>
        <x:v>7.254070287771617</x:v>
      </x:c>
      <x:c r="G35" s="116"/>
      <x:c r="H35" s="116" t="str">
        <x:v>Latest MRR</x:v>
      </x:c>
      <x:c r="I35" s="124" t="n">
        <x:f>Monthly_revenue!F49</x:f>
        <x:v>292628.61</x:v>
      </x:c>
      <x:c r="J35" s="116" t="str">
        <x:v>Latest month in monthly revenue table</x:v>
      </x:c>
      <x:c r="M35" t="str">
        <x:v>Oct-24</x:v>
      </x:c>
      <x:c r="N35" s="11" t="n">
        <x:v>3</x:v>
      </x:c>
      <x:c r="O35" s="105" t="n">
        <x:v>239344.73</x:v>
      </x:c>
    </x:row>
    <x:row r="36">
      <x:c r="A36" s="116" t="str">
        <x:v>Professional</x:v>
      </x:c>
      <x:c r="B36" s="122" t="n">
        <x:f>SUMIF(Subscriptions!B$2:B$601,A36,Subscriptions!G$2:G$601)/COUNTIF(Subscriptions!B$2:B$601,A36)</x:f>
        <x:v>497.04127167630025</x:v>
      </x:c>
      <x:c r="C36" s="123" t="n">
        <x:f>SUMIFS(Subscriptions!S$2:S$601,Subscriptions!B$2:B$601,A36)/COUNTIFS(Subscriptions!B$2:B$601,A36,Subscriptions!K$2:K$601,"Yes")</x:f>
        <x:v>10.697013928403559</x:v>
      </x:c>
      <x:c r="D36" s="124" t="n">
        <x:f>B36*C36</x:f>
        <x:v>5316.857406112801</x:v>
      </x:c>
      <x:c r="E36" s="124" t="n">
        <x:f>AVERAGE(Monthly_revenue!H$2:H$49)</x:f>
        <x:v>200.04062499999998</x:v>
      </x:c>
      <x:c r="F36" s="125" t="n">
        <x:f>D36/E36</x:f>
        <x:v>26.578888193899623</x:v>
      </x:c>
      <x:c r="G36" s="116"/>
      <x:c r="H36" s="116" t="str">
        <x:v>Peak MRR</x:v>
      </x:c>
      <x:c r="I36" s="124" t="n">
        <x:f>MAX(Monthly_revenue!F2:F49)</x:f>
        <x:v>292628.61</x:v>
      </x:c>
      <x:c r="J36" s="116" t="str">
        <x:v>Maximum monthly MRR</x:v>
      </x:c>
      <x:c r="M36" t="str">
        <x:v>Nov-24</x:v>
      </x:c>
      <x:c r="N36" s="11" t="n">
        <x:v>3.78</x:v>
      </x:c>
      <x:c r="O36" s="105" t="n">
        <x:v>253489.47</x:v>
      </x:c>
    </x:row>
    <x:row r="37">
      <x:c r="A37" s="116" t="str">
        <x:v>Business</x:v>
      </x:c>
      <x:c r="B37" s="122" t="n">
        <x:f>SUMIF(Subscriptions!B$2:B$601,A37,Subscriptions!G$2:G$601)/COUNTIF(Subscriptions!B$2:B$601,A37)</x:f>
        <x:v>1303.6364375000003</x:v>
      </x:c>
      <x:c r="C37" s="123" t="n">
        <x:f>SUMIFS(Subscriptions!S$2:S$601,Subscriptions!B$2:B$601,A37)/COUNTIFS(Subscriptions!B$2:B$601,A37,Subscriptions!K$2:K$601,"Yes")</x:f>
        <x:v>14.648497293261153</x:v>
      </x:c>
      <x:c r="D37" s="124" t="n">
        <x:f>B37*C37</x:f>
        <x:v>19096.314826115366</x:v>
      </x:c>
      <x:c r="E37" s="124" t="n">
        <x:f>AVERAGE(Monthly_revenue!H$2:H$49)</x:f>
        <x:v>200.04062499999998</x:v>
      </x:c>
      <x:c r="F37" s="125" t="n">
        <x:f>D37/E37</x:f>
        <x:v>95.46218337457887</x:v>
      </x:c>
      <x:c r="G37" s="116"/>
      <x:c r="H37" s="116" t="str">
        <x:v>Average Monthly Churn</x:v>
      </x:c>
      <x:c r="I37" s="120" t="n">
        <x:f>AVERAGE(Monthly_revenue!E2:E49)/100</x:f>
        <x:v>0.04518958333333332</x:v>
      </x:c>
      <x:c r="J37" s="116" t="str">
        <x:v>Average of provided monthly churn rate</x:v>
      </x:c>
      <x:c r="M37" t="str">
        <x:v>Dec-24</x:v>
      </x:c>
      <x:c r="N37" s="11" t="n">
        <x:v>3.75</x:v>
      </x:c>
      <x:c r="O37" s="105" t="n">
        <x:v>260856.24</x:v>
      </x:c>
    </x:row>
    <x:row r="38">
      <x:c r="A38" s="116" t="str">
        <x:v>Enterprise</x:v>
      </x:c>
      <x:c r="B38" s="122" t="n">
        <x:f>SUMIF(Subscriptions!B$2:B$601,A38,Subscriptions!G$2:G$601)/COUNTIF(Subscriptions!B$2:B$601,A38)</x:f>
        <x:v>2984.9930000000004</x:v>
      </x:c>
      <x:c r="C38" s="123" t="n">
        <x:f>SUMIFS(Subscriptions!S$2:S$601,Subscriptions!B$2:B$601,A38)/COUNTIFS(Subscriptions!B$2:B$601,A38,Subscriptions!K$2:K$601,"Yes")</x:f>
        <x:v>14.754526787380998</x:v>
      </x:c>
      <x:c r="D38" s="124" t="n">
        <x:f>B38*C38</x:f>
        <x:v>44042.159178644775</x:v>
      </x:c>
      <x:c r="E38" s="124" t="n">
        <x:f>AVERAGE(Monthly_revenue!H$2:H$49)</x:f>
        <x:v>200.04062499999998</x:v>
      </x:c>
      <x:c r="F38" s="125" t="n">
        <x:f>D38/E38</x:f>
        <x:v>220.16607465930872</x:v>
      </x:c>
      <x:c r="G38" s="116"/>
      <x:c r="H38" s="116" t="str">
        <x:v>Latest Active Customers</x:v>
      </x:c>
      <x:c r="I38" s="120" t="n">
        <x:f>Monthly_revenue!B49</x:f>
        <x:v>281</x:v>
      </x:c>
      <x:c r="J38" s="116" t="str">
        <x:v>Latest monthly active-customer count</x:v>
      </x:c>
      <x:c r="M38" t="str">
        <x:v>Jan-25</x:v>
      </x:c>
      <x:c r="N38" s="11" t="n">
        <x:v>3.64</x:v>
      </x:c>
      <x:c r="O38" s="105" t="n">
        <x:v>266142.93</x:v>
      </x:c>
    </x:row>
    <x:row r="39">
      <x:c r="A39" s="116"/>
      <x:c r="B39" s="116"/>
      <x:c r="C39" s="116"/>
      <x:c r="D39" s="116"/>
      <x:c r="E39" s="116"/>
      <x:c r="F39" s="116"/>
      <x:c r="G39" s="116"/>
      <x:c r="H39" s="116" t="str">
        <x:v>MRR Change, First Nonzero to Latest</x:v>
      </x:c>
      <x:c r="I39" s="120" t="n">
        <x:f>Monthly_revenue!F49/Monthly_revenue!F3-1</x:f>
        <x:v>38.9053343279145</x:v>
      </x:c>
      <x:c r="J39" s="116" t="str">
        <x:v>Growth across the observed period</x:v>
      </x:c>
      <x:c r="M39" t="str">
        <x:v>Feb-25</x:v>
      </x:c>
      <x:c r="N39" s="11" t="n">
        <x:v>3.19</x:v>
      </x:c>
      <x:c r="O39" s="105" t="n">
        <x:v>274162.54</x:v>
      </x:c>
    </x:row>
    <x:row r="40">
      <x:c r="A40" s="116"/>
      <x:c r="B40" s="116"/>
      <x:c r="C40" s="116"/>
      <x:c r="D40" s="116"/>
      <x:c r="E40" s="116"/>
      <x:c r="F40" s="116"/>
      <x:c r="G40" s="116"/>
      <x:c r="H40" s="116" t="str">
        <x:v>Standard NRR</x:v>
      </x:c>
      <x:c r="I40" s="116" t="str">
        <x:v>N/A</x:v>
      </x:c>
      <x:c r="J40" s="116" t="str">
        <x:v>Standard NRR needs beginning MRR plus churn/contraction/expansion MRR; those fields are not provided.</x:v>
      </x:c>
      <x:c r="M40" t="str">
        <x:v>Mar-25</x:v>
      </x:c>
      <x:c r="N40" s="11" t="n">
        <x:v>2.72</x:v>
      </x:c>
      <x:c r="O40" s="105" t="n">
        <x:v>280928.08</x:v>
      </x:c>
    </x:row>
    <x:row r="41">
      <x:c r="A41" s="116"/>
      <x:c r="B41" s="116"/>
      <x:c r="C41" s="116"/>
      <x:c r="D41" s="116"/>
      <x:c r="E41" s="116"/>
      <x:c r="F41" s="116"/>
      <x:c r="G41" s="116"/>
      <x:c r="H41" s="116"/>
      <x:c r="I41" s="116"/>
      <x:c r="J41" s="116"/>
      <x:c r="M41" t="str">
        <x:v>Apr-25</x:v>
      </x:c>
      <x:c r="N41" s="11" t="n">
        <x:v>6.3</x:v>
      </x:c>
      <x:c r="O41" s="105" t="n">
        <x:v>287791.15</x:v>
      </x:c>
    </x:row>
    <x:row r="42">
      <x:c r="A42" s="117" t="str">
        <x:v>Management Recommendations</x:v>
      </x:c>
      <x:c r="B42" s="117"/>
      <x:c r="C42" s="117"/>
      <x:c r="D42" s="117"/>
      <x:c r="E42" s="117"/>
      <x:c r="F42" s="117"/>
      <x:c r="G42" s="117"/>
      <x:c r="H42" s="117"/>
      <x:c r="I42" s="117"/>
      <x:c r="J42" s="117"/>
      <x:c r="M42" t="str">
        <x:v>May-25</x:v>
      </x:c>
      <x:c r="N42" s="11" t="n">
        <x:v>5.68</x:v>
      </x:c>
      <x:c r="O42" s="105" t="n">
        <x:v>287207.82</x:v>
      </x:c>
    </x:row>
    <x:row r="43">
      <x:c r="A43" s="33" t="str">
        <x:v>Priority</x:v>
      </x:c>
      <x:c r="B43" s="33" t="str">
        <x:v>Focus</x:v>
      </x:c>
      <x:c r="C43" s="33" t="str">
        <x:v>Action</x:v>
      </x:c>
      <x:c r="D43" s="33" t="str">
        <x:v>Evidence</x:v>
      </x:c>
      <x:c r="E43" s="116"/>
      <x:c r="F43" s="116"/>
      <x:c r="G43" s="116"/>
      <x:c r="H43" s="116"/>
      <x:c r="I43" s="116"/>
      <x:c r="J43" s="116"/>
      <x:c r="M43" t="str">
        <x:v>Jun-25</x:v>
      </x:c>
      <x:c r="N43" s="11" t="n">
        <x:v>4.21</x:v>
      </x:c>
      <x:c r="O43" s="105" t="n">
        <x:v>280683.13</x:v>
      </x:c>
    </x:row>
    <x:row r="44">
      <x:c r="A44" s="116" t="str">
        <x:v>1</x:v>
      </x:c>
      <x:c r="B44" s="126" t="str">
        <x:v>Starter retention</x:v>
      </x:c>
      <x:c r="C44" s="126" t="str">
        <x:v>Prioritize onboarding, product adoption, and pricing/value communication for Starter customers.</x:v>
      </x:c>
      <x:c r="D44" s="126" t="str">
        <x:v>Highest churn rate: 70.5%.</x:v>
      </x:c>
      <x:c r="E44" s="116"/>
      <x:c r="F44" s="116"/>
      <x:c r="G44" s="116"/>
      <x:c r="H44" s="116"/>
      <x:c r="I44" s="116"/>
      <x:c r="J44" s="116"/>
      <x:c r="M44" t="str">
        <x:v>Jul-25</x:v>
      </x:c>
      <x:c r="N44" s="11" t="n">
        <x:v>3.4</x:v>
      </x:c>
      <x:c r="O44" s="105" t="n">
        <x:v>287661.73</x:v>
      </x:c>
    </x:row>
    <x:row r="45">
      <x:c r="A45" s="116" t="str">
        <x:v>2</x:v>
      </x:c>
      <x:c r="B45" s="126" t="str">
        <x:v>Annual conversion</x:v>
      </x:c>
      <x:c r="C45" s="126" t="str">
        <x:v>Create incentives and lifecycle campaigns to move suitable monthly customers to annual billing.</x:v>
      </x:c>
      <x:c r="D45" s="126" t="str">
        <x:v>Monthly churn is 60.5% vs 40.3% annual.</x:v>
      </x:c>
      <x:c r="E45" s="116"/>
      <x:c r="F45" s="116"/>
      <x:c r="G45" s="116"/>
      <x:c r="H45" s="116"/>
      <x:c r="I45" s="116"/>
      <x:c r="J45" s="116"/>
      <x:c r="M45" t="str">
        <x:v>Aug-25</x:v>
      </x:c>
      <x:c r="N45" s="11" t="n">
        <x:v>2.64</x:v>
      </x:c>
      <x:c r="O45" s="105" t="n">
        <x:v>287743</x:v>
      </x:c>
    </x:row>
    <x:row r="46">
      <x:c r="A46" s="116" t="str">
        <x:v>3</x:v>
      </x:c>
      <x:c r="B46" s="126" t="str">
        <x:v>Usage-based intervention</x:v>
      </x:c>
      <x:c r="C46" s="126" t="str">
        <x:v>Trigger Customer Success outreach when feature usage falls below 40%; escalate when NPS &lt;=4.</x:v>
      </x:c>
      <x:c r="D46" s="126" t="str">
        <x:v>Usage &lt;40% historically churns at ~73.4%; high-risk active segment is measurable.</x:v>
      </x:c>
      <x:c r="E46" s="116"/>
      <x:c r="F46" s="116"/>
      <x:c r="G46" s="116"/>
      <x:c r="H46" s="116"/>
      <x:c r="I46" s="116"/>
      <x:c r="J46" s="116"/>
      <x:c r="M46" t="str">
        <x:v>Sep-25</x:v>
      </x:c>
      <x:c r="N46" s="11" t="n">
        <x:v>3.4</x:v>
      </x:c>
      <x:c r="O46" s="105" t="n">
        <x:v>290824.44</x:v>
      </x:c>
    </x:row>
    <x:row r="47">
      <x:c r="A47" s="116" t="str">
        <x:v>4</x:v>
      </x:c>
      <x:c r="B47" s="126" t="str">
        <x:v>Pricing &amp; budget objections</x:v>
      </x:c>
      <x:c r="C47" s="126" t="str">
        <x:v>Build save offers, right-sizing paths, and ROI messaging for price/budget-related churn.</x:v>
      </x:c>
      <x:c r="D47" s="126" t="str">
        <x:v>Budget Cuts and Price Too High are the top two controllable stated reasons.</x:v>
      </x:c>
      <x:c r="E47" s="116"/>
      <x:c r="F47" s="116"/>
      <x:c r="G47" s="116"/>
      <x:c r="H47" s="116"/>
      <x:c r="I47" s="116"/>
      <x:c r="J47" s="116"/>
      <x:c r="M47" t="str">
        <x:v>Oct-25</x:v>
      </x:c>
      <x:c r="N47" s="11" t="n">
        <x:v>3.35</x:v>
      </x:c>
      <x:c r="O47" s="105" t="n">
        <x:v>280089.15</x:v>
      </x:c>
    </x:row>
    <x:row r="48">
      <x:c r="A48" s="116" t="str">
        <x:v>5</x:v>
      </x:c>
      <x:c r="B48" s="126" t="str">
        <x:v>Protect Enterprise</x:v>
      </x:c>
      <x:c r="C48" s="126" t="str">
        <x:v>Maintain high-touch support and expansion motions for Enterprise.</x:v>
      </x:c>
      <x:c r="D48" s="126" t="str">
        <x:v>Lowest churn and strongest CLV:CAC economics.</x:v>
      </x:c>
      <x:c r="E48" s="116"/>
      <x:c r="F48" s="116"/>
      <x:c r="G48" s="116"/>
      <x:c r="H48" s="116"/>
      <x:c r="I48" s="116"/>
      <x:c r="J48" s="116"/>
      <x:c r="M48" t="str">
        <x:v>Nov-25</x:v>
      </x:c>
      <x:c r="N48" s="11" t="n">
        <x:v>3.24</x:v>
      </x:c>
      <x:c r="O48" s="105" t="n">
        <x:v>285261.36</x:v>
      </x:c>
    </x:row>
    <x:row r="49">
      <x:c r="A49" s="116"/>
      <x:c r="B49" s="116"/>
      <x:c r="C49" s="116"/>
      <x:c r="D49" s="116"/>
      <x:c r="E49" s="116"/>
      <x:c r="F49" s="116"/>
      <x:c r="G49" s="116"/>
      <x:c r="H49" s="116"/>
      <x:c r="I49" s="116"/>
      <x:c r="J49" s="116"/>
      <x:c r="M49" t="str">
        <x:v>Dec-25</x:v>
      </x:c>
      <x:c r="N49" s="11" t="n">
        <x:v>1.42</x:v>
      </x:c>
      <x:c r="O49" s="105" t="n">
        <x:v>292628.61</x:v>
      </x:c>
    </x:row>
    <x:row r="50">
      <x:c r="A50" s="116"/>
      <x:c r="B50" s="116"/>
      <x:c r="C50" s="116"/>
      <x:c r="D50" s="116"/>
      <x:c r="E50" s="116"/>
      <x:c r="F50" s="116"/>
      <x:c r="G50" s="116"/>
      <x:c r="H50" s="116"/>
      <x:c r="I50" s="116"/>
      <x:c r="J50" s="116"/>
    </x:row>
    <x:row r="51">
      <x:c r="A51" s="93" t="str">
        <x:v>Direct Answers to the Board Questions</x:v>
      </x:c>
      <x:c r="B51" s="93"/>
      <x:c r="C51" s="93"/>
      <x:c r="D51" s="93"/>
      <x:c r="E51" s="93"/>
      <x:c r="F51" s="93"/>
      <x:c r="G51" s="93"/>
      <x:c r="H51" s="93"/>
      <x:c r="I51" s="93"/>
      <x:c r="J51" s="93"/>
    </x:row>
    <x:row r="52">
      <x:c r="A52" s="33" t="str">
        <x:v>Question</x:v>
      </x:c>
      <x:c r="B52" s="33" t="str">
        <x:v>Answer</x:v>
      </x:c>
      <x:c r="C52" s="33" t="str"/>
      <x:c r="D52" s="33" t="str"/>
      <x:c r="E52" s="33" t="str"/>
      <x:c r="F52" s="33" t="str"/>
      <x:c r="G52" s="33" t="str"/>
      <x:c r="H52" s="33" t="str"/>
      <x:c r="I52" s="33" t="str"/>
      <x:c r="J52" s="33" t="str"/>
    </x:row>
    <x:row r="53" ht="36" customHeight="1">
      <x:c r="A53" s="151" t="str">
        <x:v>1. Overall churn &amp; trend</x:v>
      </x:c>
      <x:c r="B53" s="155" t="str">
        <x:v>Overall churn is 52.17%. Monthly churn was highly volatile and elevated in 2022, then stabilized mostly around 3–5% through 2023–2025, so the trend is improving.</x:v>
      </x:c>
      <x:c r="C53" s="155"/>
      <x:c r="D53" s="155"/>
      <x:c r="E53" s="155"/>
      <x:c r="F53" s="155"/>
      <x:c r="G53" s="155"/>
      <x:c r="H53" s="155"/>
      <x:c r="I53" s="155"/>
      <x:c r="J53" s="155"/>
    </x:row>
    <x:row r="54" ht="36" customHeight="1">
      <x:c r="A54" s="151" t="str">
        <x:v>2. Highest-risk plan &amp; billing cycle</x:v>
      </x:c>
      <x:c r="B54" s="155" t="str">
        <x:v>Starter has the highest churn rate at 70.51%; Enterprise is lowest at 22.00%. Monthly billing churn is 60.51% versus 40.32% for annual billing, a 20.19 percentage-point gap.</x:v>
      </x:c>
      <x:c r="C54" s="155"/>
      <x:c r="D54" s="155"/>
      <x:c r="E54" s="155"/>
      <x:c r="F54" s="155"/>
      <x:c r="G54" s="155"/>
      <x:c r="H54" s="155"/>
      <x:c r="I54" s="155"/>
      <x:c r="J54" s="155"/>
    </x:row>
    <x:row r="55" ht="36" customHeight="1">
      <x:c r="A55" s="151" t="str">
        <x:v>3. Top churn reasons</x:v>
      </x:c>
      <x:c r="B55" s="155" t="str">
        <x:v>Top reasons are Budget Cuts (53), Price Too High (51), and Company Closed (48). Reasons differ by segment: Starter/Professional skew to price and budget; Business skews to Missing Features; Enterprise is mainly Company Closed / No Longer Needed.</x:v>
      </x:c>
      <x:c r="C55" s="155"/>
      <x:c r="D55" s="155"/>
      <x:c r="E55" s="155"/>
      <x:c r="F55" s="155"/>
      <x:c r="G55" s="155"/>
      <x:c r="H55" s="155"/>
      <x:c r="I55" s="155"/>
      <x:c r="J55" s="155"/>
    </x:row>
    <x:row r="56" ht="36" customHeight="1">
      <x:c r="A56" s="151" t="str">
        <x:v>4. CLV vs CAC</x:v>
      </x:c>
      <x:c r="B56" s="155" t="str">
        <x:v>Estimated CLV is highest for Enterprise (~$44.0k) and Business (~$19.1k), versus average CAC of ~$200. Starter is lowest at ~$1.45k CLV and ~7.3x CLV:CAC; Enterprise is strongest at ~220x.</x:v>
      </x:c>
      <x:c r="C56" s="155"/>
      <x:c r="D56" s="155"/>
      <x:c r="E56" s="155"/>
      <x:c r="F56" s="155"/>
      <x:c r="G56" s="155"/>
      <x:c r="H56" s="155"/>
      <x:c r="I56" s="155"/>
      <x:c r="J56" s="155"/>
    </x:row>
    <x:row r="57" ht="36" customHeight="1">
      <x:c r="A57" s="151" t="str">
        <x:v>5. At-risk indicators</x:v>
      </x:c>
      <x:c r="B57" s="155" t="str">
        <x:v>Churned customers average much lower feature usage and NPS. Feature usage below 40% historically churns at ~73.4%. A strict high-risk rule of usage &lt;40% and NPS &lt;=4 flags 31 currently active customers.</x:v>
      </x:c>
      <x:c r="C57" s="155"/>
      <x:c r="D57" s="155"/>
      <x:c r="E57" s="155"/>
      <x:c r="F57" s="155"/>
      <x:c r="G57" s="155"/>
      <x:c r="H57" s="155"/>
      <x:c r="I57" s="155"/>
      <x:c r="J57" s="155"/>
    </x:row>
    <x:row r="58">
      <x:c r="A58" s="116"/>
      <x:c r="B58" s="116"/>
      <x:c r="C58" s="116"/>
      <x:c r="D58" s="116"/>
      <x:c r="E58" s="116"/>
      <x:c r="F58" s="116"/>
      <x:c r="G58" s="116"/>
      <x:c r="H58" s="116"/>
      <x:c r="I58" s="116"/>
      <x:c r="J58" s="116"/>
    </x:row>
    <x:row r="59">
      <x:c r="A59" s="116"/>
      <x:c r="B59" s="116"/>
      <x:c r="C59" s="116"/>
      <x:c r="D59" s="116"/>
      <x:c r="E59" s="116"/>
      <x:c r="F59" s="116"/>
      <x:c r="G59" s="116"/>
      <x:c r="H59" s="116"/>
      <x:c r="I59" s="116"/>
      <x:c r="J59" s="116"/>
    </x:row>
    <x:row r="60">
      <x:c r="A60" s="157" t="str">
        <x:v>Top Churn Reason by Plan</x:v>
      </x:c>
      <x:c r="B60" s="157"/>
      <x:c r="C60" s="157"/>
      <x:c r="D60" s="157"/>
      <x:c r="E60" s="157"/>
      <x:c r="F60" s="126"/>
      <x:c r="G60" s="157" t="str">
        <x:v>Top Churn Reason by Company Size</x:v>
      </x:c>
      <x:c r="H60" s="157"/>
      <x:c r="I60" s="157"/>
      <x:c r="J60" s="157"/>
      <x:c r="K60" s="157"/>
    </x:row>
    <x:row r="61">
      <x:c r="A61" s="109" t="str">
        <x:v>Plan</x:v>
      </x:c>
      <x:c r="B61" s="109" t="str">
        <x:v>Top Reason</x:v>
      </x:c>
      <x:c r="C61" s="109" t="str">
        <x:v>Count</x:v>
      </x:c>
      <x:c r="D61" s="109" t="str">
        <x:v>Second Reason</x:v>
      </x:c>
      <x:c r="E61" s="109" t="str">
        <x:v>Count</x:v>
      </x:c>
      <x:c r="F61" s="85"/>
      <x:c r="G61" s="109" t="str">
        <x:v>Company Size</x:v>
      </x:c>
      <x:c r="H61" s="109" t="str">
        <x:v>Top Reason</x:v>
      </x:c>
      <x:c r="I61" s="109" t="str">
        <x:v>Count</x:v>
      </x:c>
      <x:c r="J61" s="109" t="str">
        <x:v>Second Reason</x:v>
      </x:c>
      <x:c r="K61" s="109" t="str">
        <x:v>Count</x:v>
      </x:c>
    </x:row>
    <x:row r="62">
      <x:c r="A62" s="85" t="str">
        <x:v>Starter</x:v>
      </x:c>
      <x:c r="B62" s="85" t="str">
        <x:v>Price Too High</x:v>
      </x:c>
      <x:c r="C62" s="85" t="n">
        <x:v>29</x:v>
      </x:c>
      <x:c r="D62" s="85" t="str">
        <x:v>Budget Cuts</x:v>
      </x:c>
      <x:c r="E62" s="85" t="n">
        <x:v>29</x:v>
      </x:c>
      <x:c r="F62" s="85"/>
      <x:c r="G62" s="85" t="str">
        <x:v>1-10</x:v>
      </x:c>
      <x:c r="H62" s="85" t="str">
        <x:v>Budget Cuts</x:v>
      </x:c>
      <x:c r="I62" s="85" t="n">
        <x:v>20</x:v>
      </x:c>
      <x:c r="J62" s="85" t="str">
        <x:v>Price Too High</x:v>
      </x:c>
      <x:c r="K62" s="85" t="n">
        <x:v>16</x:v>
      </x:c>
    </x:row>
    <x:row r="63">
      <x:c r="A63" s="85" t="str">
        <x:v>Professional</x:v>
      </x:c>
      <x:c r="B63" s="85" t="str">
        <x:v>Price Too High</x:v>
      </x:c>
      <x:c r="C63" s="85" t="n">
        <x:v>14</x:v>
      </x:c>
      <x:c r="D63" s="85" t="str">
        <x:v>Budget Cuts</x:v>
      </x:c>
      <x:c r="E63" s="85" t="n">
        <x:v>14</x:v>
      </x:c>
      <x:c r="F63" s="85"/>
      <x:c r="G63" s="85" t="str">
        <x:v>11-50</x:v>
      </x:c>
      <x:c r="H63" s="85" t="str">
        <x:v>No Longer Needed</x:v>
      </x:c>
      <x:c r="I63" s="85" t="n">
        <x:v>17</x:v>
      </x:c>
      <x:c r="J63" s="85" t="str">
        <x:v>Company Closed</x:v>
      </x:c>
      <x:c r="K63" s="85" t="n">
        <x:v>16</x:v>
      </x:c>
    </x:row>
    <x:row r="64">
      <x:c r="A64" s="85" t="str">
        <x:v>Business</x:v>
      </x:c>
      <x:c r="B64" s="85" t="str">
        <x:v>Missing Features</x:v>
      </x:c>
      <x:c r="C64" s="85" t="n">
        <x:v>12</x:v>
      </x:c>
      <x:c r="D64" s="85" t="str">
        <x:v>No Longer Needed</x:v>
      </x:c>
      <x:c r="E64" s="85" t="n">
        <x:v>11</x:v>
      </x:c>
      <x:c r="F64" s="85"/>
      <x:c r="G64" s="85" t="str">
        <x:v>51-200</x:v>
      </x:c>
      <x:c r="H64" s="85" t="str">
        <x:v>Price Too High</x:v>
      </x:c>
      <x:c r="I64" s="85" t="n">
        <x:v>11</x:v>
      </x:c>
      <x:c r="J64" s="85" t="str">
        <x:v>Budget Cuts</x:v>
      </x:c>
      <x:c r="K64" s="85" t="n">
        <x:v>11</x:v>
      </x:c>
    </x:row>
    <x:row r="65">
      <x:c r="A65" s="85" t="str">
        <x:v>Enterprise</x:v>
      </x:c>
      <x:c r="B65" s="85" t="str">
        <x:v>Company Closed</x:v>
      </x:c>
      <x:c r="C65" s="85" t="n">
        <x:v>3</x:v>
      </x:c>
      <x:c r="D65" s="85" t="str">
        <x:v>No Longer Needed</x:v>
      </x:c>
      <x:c r="E65" s="85" t="n">
        <x:v>3</x:v>
      </x:c>
      <x:c r="F65" s="85"/>
      <x:c r="G65" s="85" t="str">
        <x:v>201-500</x:v>
      </x:c>
      <x:c r="H65" s="85" t="str">
        <x:v>Budget Cuts</x:v>
      </x:c>
      <x:c r="I65" s="85" t="n">
        <x:v>11</x:v>
      </x:c>
      <x:c r="J65" s="85" t="str">
        <x:v>Price Too High</x:v>
      </x:c>
      <x:c r="K65" s="85" t="n">
        <x:v>8</x:v>
      </x:c>
    </x:row>
    <x:row r="66">
      <x:c r="A66" s="85"/>
      <x:c r="B66" s="85"/>
      <x:c r="C66" s="85"/>
      <x:c r="D66" s="85"/>
      <x:c r="E66" s="85"/>
      <x:c r="F66" s="85"/>
      <x:c r="G66" s="85" t="str">
        <x:v>500+</x:v>
      </x:c>
      <x:c r="H66" s="85" t="str">
        <x:v>Company Closed</x:v>
      </x:c>
      <x:c r="I66" s="85" t="n">
        <x:v>5</x:v>
      </x:c>
      <x:c r="J66" s="85" t="str">
        <x:v>Poor Support</x:v>
      </x:c>
      <x:c r="K66" s="85" t="n">
        <x:v>5</x:v>
      </x:c>
    </x:row>
    <x:row r="67">
      <x:c r="A67" s="85"/>
      <x:c r="B67" s="85"/>
      <x:c r="C67" s="85"/>
      <x:c r="D67" s="85"/>
      <x:c r="E67" s="85"/>
      <x:c r="F67" s="85"/>
      <x:c r="G67" s="85"/>
      <x:c r="H67" s="85"/>
      <x:c r="I67" s="85"/>
      <x:c r="J67" s="85"/>
      <x:c r="K67" s="85"/>
    </x:row>
  </x:sheetData>
  <x:mergeCells>
    <x:mergeCell ref="A1:J2"/>
    <x:mergeCell ref="A4:D4"/>
    <x:mergeCell ref="F4:I4"/>
    <x:mergeCell ref="A12:D12"/>
    <x:mergeCell ref="F12:I12"/>
    <x:mergeCell ref="A22:D22"/>
    <x:mergeCell ref="F22:J22"/>
    <x:mergeCell ref="A33:F33"/>
    <x:mergeCell ref="H33:J33"/>
    <x:mergeCell ref="A42:J42"/>
    <x:mergeCell ref="A51:J51"/>
    <x:mergeCell ref="B53:J53"/>
    <x:mergeCell ref="B54:J54"/>
    <x:mergeCell ref="B55:J55"/>
    <x:mergeCell ref="B56:J56"/>
    <x:mergeCell ref="B57:J57"/>
    <x:mergeCell ref="A60:E60"/>
    <x:mergeCell ref="G60:K60"/>
  </x:mergeCells>
  <x:conditionalFormatting sqref="D6:D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14:I19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35:F38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{ECC4C531-1941-C32D-973B-7F0E0388435D}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CC4C531-1941-C32D-973B-7F0E0388435D}">
            <x14:dataBar gradient="1">
              <x14:cfvo type="min"/>
              <x14:cfvo type="max"/>
              <x14:fillColor rgb="FFA02B93"/>
            </x14:dataBar>
          </x14:cfRule>
          <xm:sqref>F35:F38</xm:sqref>
        </x14:conditionalFormatting>
      </x14:conditionalFormattings>
    </x:ext>
  </x:extLst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fdbb403d72f14fc7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49667b0304964ba0" /></Relationships>
</file>

<file path=pivotCache/pivotCacheDefinition1.xml><?xml version="1.0" encoding="utf-8"?>
<x:pivotCacheDefinition xmlns:x="http://schemas.openxmlformats.org/spreadsheetml/2006/main" refreshedBy="LENOVO" refreshedDate="46270.75439594907" createdVersion="8" refreshedVersion="8" minRefreshableVersion="3" recordCount="600">
  <x:cacheSource type="worksheet">
    <x:worksheetSource ref="A1:R601" name="subscriptions" sheet="Subscriptions"/>
  </x:cacheSource>
  <x:cacheFields count="18">
    <x:cacheField name="customer_id" numFmtId="10">
      <x:sharedItems/>
    </x:cacheField>
    <x:cacheField name="plan" numFmtId="0">
      <x:sharedItems count="4">
        <x:s v="Professional"/>
        <x:s v="Starter"/>
        <x:s v="Business"/>
        <x:s v="Enterprise"/>
      </x:sharedItems>
    </x:cacheField>
    <x:cacheField name="billing_cycle" numFmtId="0">
      <x:sharedItems/>
    </x:cacheField>
    <x:cacheField name="industry" numFmtId="0">
      <x:sharedItems/>
    </x:cacheField>
    <x:cacheField name="company_size" numFmtId="0">
      <x:sharedItems/>
    </x:cacheField>
    <x:cacheField name="seats" numFmtId="0">
      <x:sharedItems containsSemiMixedTypes="0" containsString="0" containsNumber="1" minValue="1" maxValue="297"/>
    </x:cacheField>
    <x:cacheField name="monthly_revenue" numFmtId="0">
      <x:sharedItems containsSemiMixedTypes="0" containsString="0" containsNumber="1" minValue="24.65" maxValue="10978"/>
    </x:cacheField>
    <x:cacheField name="acquisition_channel" numFmtId="0">
      <x:sharedItems/>
    </x:cacheField>
    <x:cacheField name="region" numFmtId="0">
      <x:sharedItems/>
    </x:cacheField>
    <x:cacheField name="signup_date" numFmtId="14">
      <x:sharedItems containsSemiMixedTypes="0" containsString="0" containsNumber="1" minValue="44567" maxValue="46022"/>
    </x:cacheField>
    <x:cacheField name="churned" numFmtId="0">
      <x:sharedItems count="2">
        <x:s v="Yes"/>
        <x:s v="No"/>
      </x:sharedItems>
    </x:cacheField>
    <x:cacheField name="churn_date" numFmtId="0">
      <x:sharedItems containsSemiMixedTypes="0" containsString="0" containsNumber="1" minValue="44606" maxValue="46010"/>
    </x:cacheField>
    <x:cacheField name="churn_reason" numFmtId="0">
      <x:sharedItems/>
    </x:cacheField>
    <x:cacheField name="support_tickets_12mo" numFmtId="0">
      <x:sharedItems containsSemiMixedTypes="0" containsString="0" containsNumber="1" minValue="0" maxValue="15"/>
    </x:cacheField>
    <x:cacheField name="nps_score" numFmtId="0">
      <x:sharedItems containsSemiMixedTypes="0" containsString="0" containsNumber="1" minValue="1" maxValue="10"/>
    </x:cacheField>
    <x:cacheField name="feature_usage_pct" numFmtId="0">
      <x:sharedItems containsSemiMixedTypes="0" containsString="0" containsNumber="1" minValue="10" maxValue="95"/>
    </x:cacheField>
    <x:cacheField name="upgraded" numFmtId="0">
      <x:sharedItems/>
    </x:cacheField>
    <x:cacheField name="churn_flag" numFmtId="0">
      <x:sharedItems containsSemiMixedTypes="0" containsString="0" containsNumber="1" minValue="0" maxValue="1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x="http://schemas.openxmlformats.org/spreadsheetml/2006/main" refreshedBy="LENOVO" refreshedDate="46272.46731493055" createdVersion="8" refreshedVersion="8" minRefreshableVersion="3" recordCount="600">
  <x:cacheSource type="worksheet">
    <x:worksheetSource ref="A1:R1048576" sheet="Subscriptions"/>
  </x:cacheSource>
  <x:cacheFields count="18">
    <x:cacheField name="customer_id" numFmtId="0">
      <x:sharedItems/>
    </x:cacheField>
    <x:cacheField name="plan" numFmtId="0">
      <x:sharedItems/>
    </x:cacheField>
    <x:cacheField name="billing_cycle" numFmtId="0">
      <x:sharedItems count="2">
        <x:s v="Monthly"/>
        <x:s v="Annual"/>
      </x:sharedItems>
    </x:cacheField>
    <x:cacheField name="industry" numFmtId="0">
      <x:sharedItems/>
    </x:cacheField>
    <x:cacheField name="company_size" numFmtId="0">
      <x:sharedItems/>
    </x:cacheField>
    <x:cacheField name="seats" numFmtId="0">
      <x:sharedItems containsSemiMixedTypes="0" containsString="0" containsNumber="1" minValue="1" maxValue="297"/>
    </x:cacheField>
    <x:cacheField name="monthly_revenue" numFmtId="0">
      <x:sharedItems containsSemiMixedTypes="0" containsString="0" containsNumber="1" minValue="24.65" maxValue="10978"/>
    </x:cacheField>
    <x:cacheField name="acquisition_channel" numFmtId="0">
      <x:sharedItems/>
    </x:cacheField>
    <x:cacheField name="region" numFmtId="0">
      <x:sharedItems/>
    </x:cacheField>
    <x:cacheField name="signup_date" numFmtId="0">
      <x:sharedItems containsSemiMixedTypes="0" containsString="0" containsNumber="1" minValue="44567" maxValue="46022"/>
    </x:cacheField>
    <x:cacheField name="churned" numFmtId="0">
      <x:sharedItems/>
    </x:cacheField>
    <x:cacheField name="churn_date" numFmtId="0">
      <x:sharedItems containsSemiMixedTypes="0" containsString="0" containsNumber="1" minValue="44606" maxValue="46010"/>
    </x:cacheField>
    <x:cacheField name="churn_reason" numFmtId="0">
      <x:sharedItems/>
    </x:cacheField>
    <x:cacheField name="support_tickets_12mo" numFmtId="0">
      <x:sharedItems containsSemiMixedTypes="0" containsString="0" containsNumber="1" minValue="0" maxValue="15"/>
    </x:cacheField>
    <x:cacheField name="nps_score" numFmtId="0">
      <x:sharedItems containsSemiMixedTypes="0" containsString="0" containsNumber="1" minValue="1" maxValue="10"/>
    </x:cacheField>
    <x:cacheField name="feature_usage_pct" numFmtId="0">
      <x:sharedItems containsSemiMixedTypes="0" containsString="0" containsNumber="1" minValue="10" maxValue="95"/>
    </x:cacheField>
    <x:cacheField name="upgraded" numFmtId="0">
      <x:sharedItems/>
    </x:cacheField>
    <x:cacheField name="churn_flag" numFmtId="10">
      <x:sharedItems containsSemiMixedTypes="0" containsString="0" containsNumber="1" minValue="0" maxValue="1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600">
  <x:r>
    <x:x v="0"/>
    <x:x v="0"/>
    <x:s v="Monthly"/>
    <x:s v="Retail"/>
    <x:s v="51-200"/>
    <x:n v="64"/>
    <x:n v="825.55"/>
    <x:s v="Organic Search"/>
    <x:s v="North America"/>
    <x:d v="2022-06-27T00:00:00"/>
    <x:x v="0"/>
    <x:d v="2024-03-05T00:00:00"/>
    <x:s v="Price Too High"/>
    <x:n v="13"/>
    <x:n v="3"/>
    <x:n v="15"/>
    <x:s v="No"/>
  </x:r>
  <x:r>
    <x:x v="1"/>
    <x:x v="0"/>
    <x:s v="Annual"/>
    <x:s v="Retail"/>
    <x:s v="51-200"/>
    <x:n v="35"/>
    <x:n v="409.62"/>
    <x:s v="Direct Sales"/>
    <x:s v="North America"/>
    <x:d v="2023-03-19T00:00:00"/>
    <x:x v="1"/>
    <x:m/>
    <x:s v=""/>
    <x:n v="1"/>
    <x:n v="3"/>
    <x:n v="52"/>
    <x:s v="Yes"/>
  </x:r>
  <x:r>
    <x:x v="2"/>
    <x:x v="1"/>
    <x:s v="Annual"/>
    <x:s v="Finance"/>
    <x:s v="500+"/>
    <x:n v="266"/>
    <x:n v="1004.49"/>
    <x:s v="Partner"/>
    <x:s v="North America"/>
    <x:d v="2024-10-19T00:00:00"/>
    <x:x v="0"/>
    <x:d v="2025-04-13T00:00:00"/>
    <x:s v="Price Too High"/>
    <x:n v="10"/>
    <x:n v="4"/>
    <x:n v="31"/>
    <x:s v="No"/>
  </x:r>
  <x:r>
    <x:x v="3"/>
    <x:x v="2"/>
    <x:s v="Annual"/>
    <x:s v="Real Estate"/>
    <x:s v="11-50"/>
    <x:n v="34"/>
    <x:n v="1006.44"/>
    <x:s v="Partner"/>
    <x:s v="Europe"/>
    <x:d v="2023-01-07T00:00:00"/>
    <x:x v="1"/>
    <x:m/>
    <x:s v=""/>
    <x:n v="3"/>
    <x:n v="7"/>
    <x:n v="58"/>
    <x:s v="No"/>
  </x:r>
  <x:r>
    <x:x v="4"/>
    <x:x v="1"/>
    <x:s v="Annual"/>
    <x:s v="Manufacturing"/>
    <x:s v="51-200"/>
    <x:n v="48"/>
    <x:n v="198.43"/>
    <x:s v="Direct Sales"/>
    <x:s v="North America"/>
    <x:d v="2025-09-23T00:00:00"/>
    <x:x v="1"/>
    <x:m/>
    <x:s v=""/>
    <x:n v="3"/>
    <x:n v="7"/>
    <x:n v="59"/>
    <x:s v="No"/>
  </x:r>
  <x:r>
    <x:x v="5"/>
    <x:x v="2"/>
    <x:s v="Annual"/>
    <x:s v="Technology"/>
    <x:s v="1-10"/>
    <x:n v="3"/>
    <x:n v="219.9"/>
    <x:s v="Referral"/>
    <x:s v="North America"/>
    <x:d v="2023-09-28T00:00:00"/>
    <x:x v="1"/>
    <x:m/>
    <x:s v=""/>
    <x:n v="12"/>
    <x:n v="3"/>
    <x:n v="48"/>
    <x:s v="No"/>
  </x:r>
  <x:r>
    <x:x v="6"/>
    <x:x v="1"/>
    <x:s v="Monthly"/>
    <x:s v="Finance"/>
    <x:s v="201-500"/>
    <x:n v="121"/>
    <x:n v="551"/>
    <x:s v="Partner"/>
    <x:s v="Europe"/>
    <x:d v="2024-03-07T00:00:00"/>
    <x:x v="0"/>
    <x:d v="2025-04-08T00:00:00"/>
    <x:s v="Poor Support"/>
    <x:n v="0"/>
    <x:n v="2"/>
    <x:n v="14"/>
    <x:s v="No"/>
  </x:r>
  <x:r>
    <x:x v="7"/>
    <x:x v="1"/>
    <x:s v="Monthly"/>
    <x:s v="Technology"/>
    <x:s v="51-200"/>
    <x:n v="48"/>
    <x:n v="233.45"/>
    <x:s v="Referral"/>
    <x:s v="Europe"/>
    <x:d v="2025-04-08T00:00:00"/>
    <x:x v="0"/>
    <x:d v="2025-06-08T00:00:00"/>
    <x:s v="Price Too High"/>
    <x:n v="10"/>
    <x:n v="2"/>
    <x:n v="28"/>
    <x:s v="No"/>
  </x:r>
  <x:r>
    <x:x v="8"/>
    <x:x v="1"/>
    <x:s v="Monthly"/>
    <x:s v="Media"/>
    <x:s v="1-10"/>
    <x:n v="3"/>
    <x:n v="37.7"/>
    <x:s v="Partner"/>
    <x:s v="North America"/>
    <x:d v="2023-01-22T00:00:00"/>
    <x:x v="0"/>
    <x:d v="2023-04-21T00:00:00"/>
    <x:s v="Switched Competitor"/>
    <x:n v="5"/>
    <x:n v="6"/>
    <x:n v="15"/>
    <x:s v="No"/>
  </x:r>
  <x:r>
    <x:x v="9"/>
    <x:x v="2"/>
    <x:s v="Monthly"/>
    <x:s v="Healthcare"/>
    <x:s v="51-200"/>
    <x:n v="80"/>
    <x:n v="2557.15"/>
    <x:s v="Partner"/>
    <x:s v="North America"/>
    <x:d v="2022-06-27T00:00:00"/>
    <x:x v="0"/>
    <x:d v="2023-12-01T00:00:00"/>
    <x:s v="Budget Cuts"/>
    <x:n v="3"/>
    <x:n v="4"/>
    <x:n v="48"/>
    <x:s v="No"/>
  </x:r>
  <x:r>
    <x:x v="10"/>
    <x:x v="2"/>
    <x:s v="Annual"/>
    <x:s v="Healthcare"/>
    <x:s v="201-500"/>
    <x:n v="77"/>
    <x:n v="2097.46"/>
    <x:s v="Organic Search"/>
    <x:s v="Asia Pacific"/>
    <x:d v="2022-12-07T00:00:00"/>
    <x:x v="0"/>
    <x:d v="2023-06-14T00:00:00"/>
    <x:s v="Company Closed"/>
    <x:n v="9"/>
    <x:n v="1"/>
    <x:n v="37"/>
    <x:s v="No"/>
  </x:r>
  <x:r>
    <x:x v="11"/>
    <x:x v="2"/>
    <x:s v="Annual"/>
    <x:s v="Technology"/>
    <x:s v="11-50"/>
    <x:n v="30"/>
    <x:n v="904.95"/>
    <x:s v="Referral"/>
    <x:s v="North America"/>
    <x:d v="2023-11-17T00:00:00"/>
    <x:x v="1"/>
    <x:m/>
    <x:s v=""/>
    <x:n v="4"/>
    <x:n v="1"/>
    <x:n v="47"/>
    <x:s v="Yes"/>
  </x:r>
  <x:r>
    <x:x v="12"/>
    <x:x v="2"/>
    <x:s v="Monthly"/>
    <x:s v="Finance"/>
    <x:s v="1-10"/>
    <x:n v="4"/>
    <x:n v="288.55"/>
    <x:s v="Referral"/>
    <x:s v="Europe"/>
    <x:d v="2024-07-02T00:00:00"/>
    <x:x v="1"/>
    <x:m/>
    <x:s v=""/>
    <x:n v="10"/>
    <x:n v="9"/>
    <x:n v="84"/>
    <x:s v="Yes"/>
  </x:r>
  <x:r>
    <x:x v="13"/>
    <x:x v="1"/>
    <x:s v="Monthly"/>
    <x:s v="Retail"/>
    <x:s v="51-200"/>
    <x:n v="56"/>
    <x:n v="268.25"/>
    <x:s v="Paid Ads"/>
    <x:s v="Europe"/>
    <x:d v="2022-05-29T00:00:00"/>
    <x:x v="0"/>
    <x:d v="2022-09-27T00:00:00"/>
    <x:s v="Poor Support"/>
    <x:n v="1"/>
    <x:n v="2"/>
    <x:n v="21"/>
    <x:s v="No"/>
  </x:r>
  <x:r>
    <x:x v="14"/>
    <x:x v="1"/>
    <x:s v="Monthly"/>
    <x:s v="Education"/>
    <x:s v="1-10"/>
    <x:n v="6"/>
    <x:n v="50.75"/>
    <x:s v="Referral"/>
    <x:s v="North America"/>
    <x:d v="2024-01-17T00:00:00"/>
    <x:x v="0"/>
    <x:d v="2024-05-16T00:00:00"/>
    <x:s v="No Longer Needed"/>
    <x:n v="7"/>
    <x:n v="3"/>
    <x:n v="25"/>
    <x:s v="No"/>
  </x:r>
  <x:r>
    <x:x v="15"/>
    <x:x v="1"/>
    <x:s v="Monthly"/>
    <x:s v="Manufacturing"/>
    <x:s v="201-500"/>
    <x:n v="52"/>
    <x:n v="250.85"/>
    <x:s v="Organic Search"/>
    <x:s v="North America"/>
    <x:d v="2022-06-01T00:00:00"/>
    <x:x v="0"/>
    <x:d v="2023-01-24T00:00:00"/>
    <x:s v="Budget Cuts"/>
    <x:n v="11"/>
    <x:n v="4"/>
    <x:n v="34"/>
    <x:s v="No"/>
  </x:r>
  <x:r>
    <x:x v="16"/>
    <x:x v="2"/>
    <x:s v="Monthly"/>
    <x:s v="Education"/>
    <x:s v="11-50"/>
    <x:n v="34"/>
    <x:n v="1184.05"/>
    <x:s v="Paid Ads"/>
    <x:s v="North America"/>
    <x:d v="2024-12-23T00:00:00"/>
    <x:x v="0"/>
    <x:d v="2024-12-31T00:00:00"/>
    <x:s v="No Longer Needed"/>
    <x:n v="3"/>
    <x:n v="3"/>
    <x:n v="49"/>
    <x:s v="No"/>
  </x:r>
  <x:r>
    <x:x v="17"/>
    <x:x v="1"/>
    <x:s v="Monthly"/>
    <x:s v="Media"/>
    <x:s v="51-200"/>
    <x:n v="64"/>
    <x:n v="303.05"/>
    <x:s v="Referral"/>
    <x:s v="Europe"/>
    <x:d v="2023-06-21T00:00:00"/>
    <x:x v="0"/>
    <x:d v="2023-08-05T00:00:00"/>
    <x:s v="Company Closed"/>
    <x:n v="14"/>
    <x:n v="3"/>
    <x:n v="25"/>
    <x:s v="No"/>
  </x:r>
  <x:r>
    <x:x v="18"/>
    <x:x v="0"/>
    <x:s v="Annual"/>
    <x:s v="Legal"/>
    <x:s v="500+"/>
    <x:n v="67"/>
    <x:n v="731.93"/>
    <x:s v="Partner"/>
    <x:s v="Latin America"/>
    <x:d v="2024-03-26T00:00:00"/>
    <x:x v="0"/>
    <x:d v="2025-04-23T00:00:00"/>
    <x:s v="Company Closed"/>
    <x:n v="10"/>
    <x:n v="2"/>
    <x:n v="10"/>
    <x:s v="No"/>
  </x:r>
  <x:r>
    <x:x v="19"/>
    <x:x v="3"/>
    <x:s v="Annual"/>
    <x:s v="Education"/>
    <x:s v="1-10"/>
    <x:n v="7"/>
    <x:n v="805.88"/>
    <x:s v="Organic Search"/>
    <x:s v="Asia Pacific"/>
    <x:d v="2023-08-11T00:00:00"/>
    <x:x v="1"/>
    <x:m/>
    <x:s v=""/>
    <x:n v="8"/>
    <x:n v="4"/>
    <x:n v="93"/>
    <x:s v="No"/>
  </x:r>
  <x:r>
    <x:x v="20"/>
    <x:x v="0"/>
    <x:s v="Annual"/>
    <x:s v="Retail"/>
    <x:s v="51-200"/>
    <x:n v="66"/>
    <x:n v="721.86"/>
    <x:s v="Partner"/>
    <x:s v="Europe"/>
    <x:d v="2023-11-23T00:00:00"/>
    <x:x v="0"/>
    <x:d v="2024-05-18T00:00:00"/>
    <x:s v="Price Too High"/>
    <x:n v="7"/>
    <x:n v="2"/>
    <x:n v="19"/>
    <x:s v="No"/>
  </x:r>
  <x:r>
    <x:x v="21"/>
    <x:x v="2"/>
    <x:s v="Annual"/>
    <x:s v="Education"/>
    <x:s v="1-10"/>
    <x:n v="6"/>
    <x:n v="296.01"/>
    <x:s v="Referral"/>
    <x:s v="Europe"/>
    <x:d v="2022-07-02T00:00:00"/>
    <x:x v="1"/>
    <x:m/>
    <x:s v=""/>
    <x:n v="5"/>
    <x:n v="7"/>
    <x:n v="40"/>
    <x:s v="No"/>
  </x:r>
  <x:r>
    <x:x v="22"/>
    <x:x v="1"/>
    <x:s v="Monthly"/>
    <x:s v="Healthcare"/>
    <x:s v="11-50"/>
    <x:n v="25"/>
    <x:n v="133.4"/>
    <x:s v="Paid Ads"/>
    <x:s v="Europe"/>
    <x:d v="2024-02-17T00:00:00"/>
    <x:x v="0"/>
    <x:d v="2024-04-23T00:00:00"/>
    <x:s v="Company Closed"/>
    <x:n v="11"/>
    <x:n v="1"/>
    <x:n v="16"/>
    <x:s v="No"/>
  </x:r>
  <x:r>
    <x:x v="23"/>
    <x:x v="3"/>
    <x:s v="Annual"/>
    <x:s v="Manufacturing"/>
    <x:s v="11-50"/>
    <x:n v="14"/>
    <x:n v="1251.24"/>
    <x:s v="Referral"/>
    <x:s v="Europe"/>
    <x:d v="2025-05-22T00:00:00"/>
    <x:x v="1"/>
    <x:m/>
    <x:s v=""/>
    <x:n v="11"/>
    <x:n v="1"/>
    <x:n v="85"/>
    <x:s v="No"/>
  </x:r>
  <x:r>
    <x:x v="24"/>
    <x:x v="1"/>
    <x:s v="Annual"/>
    <x:s v="Retail"/>
    <x:s v="11-50"/>
    <x:n v="7"/>
    <x:n v="46.83"/>
    <x:s v="Referral"/>
    <x:s v="North America"/>
    <x:d v="2024-06-08T00:00:00"/>
    <x:x v="1"/>
    <x:m/>
    <x:s v=""/>
    <x:n v="1"/>
    <x:n v="1"/>
    <x:n v="42"/>
    <x:s v="No"/>
  </x:r>
  <x:r>
    <x:x v="25"/>
    <x:x v="3"/>
    <x:s v="Annual"/>
    <x:s v="Media"/>
    <x:s v="1-10"/>
    <x:n v="4"/>
    <x:n v="615.02"/>
    <x:s v="Referral"/>
    <x:s v="Europe"/>
    <x:d v="2025-07-25T00:00:00"/>
    <x:x v="1"/>
    <x:m/>
    <x:s v=""/>
    <x:n v="2"/>
    <x:n v="9"/>
    <x:n v="73"/>
    <x:s v="No"/>
  </x:r>
  <x:r>
    <x:x v="26"/>
    <x:x v="1"/>
    <x:s v="Monthly"/>
    <x:s v="Consulting"/>
    <x:s v="1-10"/>
    <x:n v="1"/>
    <x:n v="29"/>
    <x:s v="Partner"/>
    <x:s v="Asia Pacific"/>
    <x:d v="2023-09-10T00:00:00"/>
    <x:x v="0"/>
    <x:d v="2025-04-24T00:00:00"/>
    <x:s v="Poor Support"/>
    <x:n v="8"/>
    <x:n v="3"/>
    <x:n v="10"/>
    <x:s v="No"/>
  </x:r>
  <x:r>
    <x:x v="27"/>
    <x:x v="0"/>
    <x:s v="Annual"/>
    <x:s v="Technology"/>
    <x:s v="51-200"/>
    <x:n v="35"/>
    <x:n v="409.62"/>
    <x:s v="Organic Search"/>
    <x:s v="Latin America"/>
    <x:d v="2025-12-29T00:00:00"/>
    <x:x v="1"/>
    <x:m/>
    <x:s v=""/>
    <x:n v="8"/>
    <x:n v="4"/>
    <x:n v="53"/>
    <x:s v="No"/>
  </x:r>
  <x:r>
    <x:x v="28"/>
    <x:x v="1"/>
    <x:s v="Monthly"/>
    <x:s v="Real Estate"/>
    <x:s v="11-50"/>
    <x:n v="22"/>
    <x:n v="120.35"/>
    <x:s v="Organic Search"/>
    <x:s v="North America"/>
    <x:d v="2022-12-06T00:00:00"/>
    <x:x v="0"/>
    <x:d v="2023-08-15T00:00:00"/>
    <x:s v="Missing Features"/>
    <x:n v="4"/>
    <x:n v="2"/>
    <x:n v="17"/>
    <x:s v="No"/>
  </x:r>
  <x:r>
    <x:x v="29"/>
    <x:x v="2"/>
    <x:s v="Annual"/>
    <x:s v="Real Estate"/>
    <x:s v="500+"/>
    <x:n v="230"/>
    <x:n v="5979.45"/>
    <x:s v="Partner"/>
    <x:s v="Europe"/>
    <x:d v="2023-11-04T00:00:00"/>
    <x:x v="1"/>
    <x:m/>
    <x:s v=""/>
    <x:n v="9"/>
    <x:n v="3"/>
    <x:n v="76"/>
    <x:s v="No"/>
  </x:r>
  <x:r>
    <x:x v="30"/>
    <x:x v="2"/>
    <x:s v="Annual"/>
    <x:s v="Finance"/>
    <x:s v="500+"/>
    <x:n v="174"/>
    <x:n v="4558.59"/>
    <x:s v="Direct Sales"/>
    <x:s v="Europe"/>
    <x:d v="2024-07-20T00:00:00"/>
    <x:x v="1"/>
    <x:m/>
    <x:s v=""/>
    <x:n v="8"/>
    <x:n v="7"/>
    <x:n v="84"/>
    <x:s v="No"/>
  </x:r>
  <x:r>
    <x:x v="31"/>
    <x:x v="3"/>
    <x:s v="Annual"/>
    <x:s v="Technology"/>
    <x:s v="1-10"/>
    <x:n v="5"/>
    <x:n v="678.64"/>
    <x:s v="Referral"/>
    <x:s v="North America"/>
    <x:d v="2023-03-28T00:00:00"/>
    <x:x v="1"/>
    <x:m/>
    <x:s v=""/>
    <x:n v="7"/>
    <x:n v="8"/>
    <x:n v="16"/>
    <x:s v="No"/>
  </x:r>
  <x:r>
    <x:x v="32"/>
    <x:x v="1"/>
    <x:s v="Annual"/>
    <x:s v="Consulting"/>
    <x:s v="1-10"/>
    <x:n v="6"/>
    <x:n v="43.14"/>
    <x:s v="Organic Search"/>
    <x:s v="Latin America"/>
    <x:d v="2024-05-19T00:00:00"/>
    <x:x v="0"/>
    <x:d v="2024-07-29T00:00:00"/>
    <x:s v="No Longer Needed"/>
    <x:n v="11"/>
    <x:n v="3"/>
    <x:n v="30"/>
    <x:s v="No"/>
  </x:r>
  <x:r>
    <x:x v="33"/>
    <x:x v="3"/>
    <x:s v="Annual"/>
    <x:s v="Education"/>
    <x:s v="11-50"/>
    <x:n v="35"/>
    <x:n v="2587.32"/>
    <x:s v="Referral"/>
    <x:s v="North America"/>
    <x:d v="2023-09-25T00:00:00"/>
    <x:x v="1"/>
    <x:m/>
    <x:s v=""/>
    <x:n v="5"/>
    <x:n v="8"/>
    <x:n v="33"/>
    <x:s v="Yes"/>
  </x:r>
  <x:r>
    <x:x v="34"/>
    <x:x v="1"/>
    <x:s v="Monthly"/>
    <x:s v="Manufacturing"/>
    <x:s v="51-200"/>
    <x:n v="70"/>
    <x:n v="329.15"/>
    <x:s v="Organic Search"/>
    <x:s v="Latin America"/>
    <x:d v="2022-05-08T00:00:00"/>
    <x:x v="0"/>
    <x:d v="2022-07-24T00:00:00"/>
    <x:s v="Switched Competitor"/>
    <x:n v="0"/>
    <x:n v="6"/>
    <x:n v="30"/>
    <x:s v="No"/>
  </x:r>
  <x:r>
    <x:x v="35"/>
    <x:x v="0"/>
    <x:s v="Monthly"/>
    <x:s v="Manufacturing"/>
    <x:s v="1-10"/>
    <x:n v="7"/>
    <x:n v="150.1"/>
    <x:s v="Referral"/>
    <x:s v="Latin America"/>
    <x:d v="2023-04-22T00:00:00"/>
    <x:x v="0"/>
    <x:d v="2023-12-24T00:00:00"/>
    <x:s v="Company Closed"/>
    <x:n v="10"/>
    <x:n v="6"/>
    <x:n v="16"/>
    <x:s v="No"/>
  </x:r>
  <x:r>
    <x:x v="36"/>
    <x:x v="0"/>
    <x:s v="Monthly"/>
    <x:s v="Technology"/>
    <x:s v="1-10"/>
    <x:n v="2"/>
    <x:n v="90.85"/>
    <x:s v="Direct Sales"/>
    <x:s v="North America"/>
    <x:d v="2024-06-14T00:00:00"/>
    <x:x v="0"/>
    <x:d v="2024-11-08T00:00:00"/>
    <x:s v="No Longer Needed"/>
    <x:n v="11"/>
    <x:n v="2"/>
    <x:n v="34"/>
    <x:s v="No"/>
  </x:r>
  <x:r>
    <x:x v="37"/>
    <x:x v="0"/>
    <x:s v="Monthly"/>
    <x:s v="Real Estate"/>
    <x:s v="1-10"/>
    <x:n v="5"/>
    <x:n v="126.4"/>
    <x:s v="Organic Search"/>
    <x:s v="Europe"/>
    <x:d v="2022-06-06T00:00:00"/>
    <x:x v="0"/>
    <x:d v="2022-08-11T00:00:00"/>
    <x:s v="Budget Cuts"/>
    <x:n v="6"/>
    <x:n v="1"/>
    <x:n v="30"/>
    <x:s v="No"/>
  </x:r>
  <x:r>
    <x:x v="38"/>
    <x:x v="2"/>
    <x:s v="Annual"/>
    <x:s v="Retail"/>
    <x:s v="51-200"/>
    <x:n v="30"/>
    <x:n v="904.95"/>
    <x:s v="Organic Search"/>
    <x:s v="Asia Pacific"/>
    <x:d v="2024-05-02T00:00:00"/>
    <x:x v="1"/>
    <x:m/>
    <x:s v=""/>
    <x:n v="4"/>
    <x:n v="9"/>
    <x:n v="71"/>
    <x:s v="Yes"/>
  </x:r>
  <x:r>
    <x:x v="39"/>
    <x:x v="2"/>
    <x:s v="Annual"/>
    <x:s v="Media"/>
    <x:s v="11-50"/>
    <x:n v="24"/>
    <x:n v="752.72"/>
    <x:s v="Direct Sales"/>
    <x:s v="Asia Pacific"/>
    <x:d v="2023-05-17T00:00:00"/>
    <x:x v="1"/>
    <x:m/>
    <x:s v=""/>
    <x:n v="9"/>
    <x:n v="2"/>
    <x:n v="76"/>
    <x:s v="No"/>
  </x:r>
  <x:r>
    <x:x v="40"/>
    <x:x v="1"/>
    <x:s v="Monthly"/>
    <x:s v="Education"/>
    <x:s v="51-200"/>
    <x:n v="53"/>
    <x:n v="255.2"/>
    <x:s v="Referral"/>
    <x:s v="Asia Pacific"/>
    <x:d v="2022-12-21T00:00:00"/>
    <x:x v="0"/>
    <x:d v="2023-05-19T00:00:00"/>
    <x:s v="Poor Support"/>
    <x:n v="4"/>
    <x:n v="5"/>
    <x:n v="45"/>
    <x:s v="No"/>
  </x:r>
  <x:r>
    <x:x v="41"/>
    <x:x v="1"/>
    <x:s v="Monthly"/>
    <x:s v="Real Estate"/>
    <x:s v="51-200"/>
    <x:n v="34"/>
    <x:n v="172.55"/>
    <x:s v="Partner"/>
    <x:s v="Europe"/>
    <x:d v="2025-01-04T00:00:00"/>
    <x:x v="1"/>
    <x:m/>
    <x:s v=""/>
    <x:n v="9"/>
    <x:n v="2"/>
    <x:n v="73"/>
    <x:s v="No"/>
  </x:r>
  <x:r>
    <x:x v="42"/>
    <x:x v="0"/>
    <x:s v="Annual"/>
    <x:s v="Manufacturing"/>
    <x:s v="1-10"/>
    <x:n v="2"/>
    <x:n v="77.22"/>
    <x:s v="Paid Ads"/>
    <x:s v="Europe"/>
    <x:d v="2022-02-20T00:00:00"/>
    <x:x v="1"/>
    <x:m/>
    <x:s v=""/>
    <x:n v="9"/>
    <x:n v="9"/>
    <x:n v="20"/>
    <x:s v="No"/>
  </x:r>
  <x:r>
    <x:x v="43"/>
    <x:x v="0"/>
    <x:s v="Annual"/>
    <x:s v="Legal"/>
    <x:s v="1-10"/>
    <x:n v="2"/>
    <x:n v="77.22"/>
    <x:s v="Social Media"/>
    <x:s v="North America"/>
    <x:d v="2022-04-27T00:00:00"/>
    <x:x v="0"/>
    <x:d v="2022-08-02T00:00:00"/>
    <x:s v="Price Too High"/>
    <x:n v="7"/>
    <x:n v="6"/>
    <x:n v="20"/>
    <x:s v="No"/>
  </x:r>
  <x:r>
    <x:x v="44"/>
    <x:x v="1"/>
    <x:s v="Monthly"/>
    <x:s v="Retail"/>
    <x:s v="11-50"/>
    <x:n v="7"/>
    <x:n v="55.1"/>
    <x:s v="Social Media"/>
    <x:s v="Latin America"/>
    <x:d v="2025-09-10T00:00:00"/>
    <x:x v="1"/>
    <x:m/>
    <x:s v=""/>
    <x:n v="12"/>
    <x:n v="4"/>
    <x:n v="67"/>
    <x:s v="No"/>
  </x:r>
  <x:r>
    <x:x v="45"/>
    <x:x v="0"/>
    <x:s v="Monthly"/>
    <x:s v="Finance"/>
    <x:s v="1-10"/>
    <x:n v="4"/>
    <x:n v="114.55"/>
    <x:s v="Paid Ads"/>
    <x:s v="North America"/>
    <x:d v="2023-07-07T00:00:00"/>
    <x:x v="0"/>
    <x:d v="2024-02-28T00:00:00"/>
    <x:s v="Missing Features"/>
    <x:n v="1"/>
    <x:n v="6"/>
    <x:n v="42"/>
    <x:s v="No"/>
  </x:r>
  <x:r>
    <x:x v="46"/>
    <x:x v="2"/>
    <x:s v="Monthly"/>
    <x:s v="Media"/>
    <x:s v="1-10"/>
    <x:n v="5"/>
    <x:n v="318.4"/>
    <x:s v="Partner"/>
    <x:s v="North America"/>
    <x:d v="2023-01-17T00:00:00"/>
    <x:x v="0"/>
    <x:d v="2025-06-13T00:00:00"/>
    <x:s v="No Longer Needed"/>
    <x:n v="15"/>
    <x:n v="4"/>
    <x:n v="46"/>
    <x:s v="No"/>
  </x:r>
  <x:r>
    <x:x v="47"/>
    <x:x v="2"/>
    <x:s v="Annual"/>
    <x:s v="Education"/>
    <x:s v="1-10"/>
    <x:n v="4"/>
    <x:n v="245.27"/>
    <x:s v="Referral"/>
    <x:s v="Europe"/>
    <x:d v="2022-04-18T00:00:00"/>
    <x:x v="0"/>
    <x:d v="2022-07-12T00:00:00"/>
    <x:s v="Budget Cuts"/>
    <x:n v="4"/>
    <x:n v="5"/>
    <x:n v="16"/>
    <x:s v="No"/>
  </x:r>
  <x:r>
    <x:x v="48"/>
    <x:x v="0"/>
    <x:s v="Monthly"/>
    <x:s v="Real Estate"/>
    <x:s v="51-200"/>
    <x:n v="36"/>
    <x:n v="493.75"/>
    <x:s v="Partner"/>
    <x:s v="Asia Pacific"/>
    <x:d v="2022-05-18T00:00:00"/>
    <x:x v="0"/>
    <x:d v="2022-08-27T00:00:00"/>
    <x:s v="Poor Support"/>
    <x:n v="1"/>
    <x:n v="6"/>
    <x:n v="26"/>
    <x:s v="No"/>
  </x:r>
  <x:r>
    <x:x v="49"/>
    <x:x v="1"/>
    <x:s v="Annual"/>
    <x:s v="Healthcare"/>
    <x:s v="1-10"/>
    <x:n v="7"/>
    <x:n v="46.83"/>
    <x:s v="Organic Search"/>
    <x:s v="North America"/>
    <x:d v="2022-06-22T00:00:00"/>
    <x:x v="0"/>
    <x:d v="2024-06-30T00:00:00"/>
    <x:s v="Price Too High"/>
    <x:n v="2"/>
    <x:n v="3"/>
    <x:n v="38"/>
    <x:s v="No"/>
  </x:r>
  <x:r>
    <x:x v="50"/>
    <x:x v="0"/>
    <x:s v="Monthly"/>
    <x:s v="Consulting"/>
    <x:s v="51-200"/>
    <x:n v="58"/>
    <x:n v="754.45"/>
    <x:s v="Partner"/>
    <x:s v="Europe"/>
    <x:d v="2022-12-27T00:00:00"/>
    <x:x v="0"/>
    <x:d v="2023-04-14T00:00:00"/>
    <x:s v="Price Too High"/>
    <x:n v="10"/>
    <x:n v="3"/>
    <x:n v="29"/>
    <x:s v="No"/>
  </x:r>
  <x:r>
    <x:x v="51"/>
    <x:x v="1"/>
    <x:s v="Monthly"/>
    <x:s v="Healthcare"/>
    <x:s v="201-500"/>
    <x:n v="138"/>
    <x:n v="624.95"/>
    <x:s v="Referral"/>
    <x:s v="North America"/>
    <x:d v="2025-03-16T00:00:00"/>
    <x:x v="0"/>
    <x:d v="2025-07-15T00:00:00"/>
    <x:s v="Budget Cuts"/>
    <x:n v="0"/>
    <x:n v="1"/>
    <x:n v="38"/>
    <x:s v="No"/>
  </x:r>
  <x:r>
    <x:x v="52"/>
    <x:x v="1"/>
    <x:s v="Monthly"/>
    <x:s v="Manufacturing"/>
    <x:s v="1-10"/>
    <x:n v="4"/>
    <x:n v="42.05"/>
    <x:s v="Organic Search"/>
    <x:s v="North America"/>
    <x:d v="2025-04-03T00:00:00"/>
    <x:x v="0"/>
    <x:d v="2025-07-04T00:00:00"/>
    <x:s v="Price Too High"/>
    <x:n v="1"/>
    <x:n v="2"/>
    <x:n v="43"/>
    <x:s v="No"/>
  </x:r>
  <x:r>
    <x:x v="53"/>
    <x:x v="0"/>
    <x:s v="Annual"/>
    <x:s v="Healthcare"/>
    <x:s v="201-500"/>
    <x:n v="82"/>
    <x:n v="883.02"/>
    <x:s v="Social Media"/>
    <x:s v="North America"/>
    <x:d v="2024-06-23T00:00:00"/>
    <x:x v="1"/>
    <x:m/>
    <x:s v=""/>
    <x:n v="4"/>
    <x:n v="8"/>
    <x:n v="81"/>
    <x:s v="No"/>
  </x:r>
  <x:r>
    <x:x v="54"/>
    <x:x v="2"/>
    <x:s v="Monthly"/>
    <x:s v="Manufacturing"/>
    <x:s v="1-10"/>
    <x:n v="7"/>
    <x:n v="378.1"/>
    <x:s v="Organic Search"/>
    <x:s v="North America"/>
    <x:d v="2022-04-13T00:00:00"/>
    <x:x v="0"/>
    <x:d v="2024-09-16T00:00:00"/>
    <x:s v="Missing Features"/>
    <x:n v="6"/>
    <x:n v="2"/>
    <x:n v="21"/>
    <x:s v="No"/>
  </x:r>
  <x:r>
    <x:x v="55"/>
    <x:x v="2"/>
    <x:s v="Monthly"/>
    <x:s v="Technology"/>
    <x:s v="11-50"/>
    <x:n v="14"/>
    <x:n v="587.05"/>
    <x:s v="Paid Ads"/>
    <x:s v="North America"/>
    <x:d v="2024-12-23T00:00:00"/>
    <x:x v="0"/>
    <x:d v="2025-11-15T00:00:00"/>
    <x:s v="Missing Features"/>
    <x:n v="3"/>
    <x:n v="2"/>
    <x:n v="37"/>
    <x:s v="No"/>
  </x:r>
  <x:r>
    <x:x v="56"/>
    <x:x v="0"/>
    <x:s v="Annual"/>
    <x:s v="Healthcare"/>
    <x:s v="11-50"/>
    <x:n v="34"/>
    <x:n v="399.54"/>
    <x:s v="Referral"/>
    <x:s v="North America"/>
    <x:d v="2024-07-12T00:00:00"/>
    <x:x v="0"/>
    <x:d v="2025-08-05T00:00:00"/>
    <x:s v="No Longer Needed"/>
    <x:n v="1"/>
    <x:n v="1"/>
    <x:n v="10"/>
    <x:s v="No"/>
  </x:r>
  <x:r>
    <x:x v="57"/>
    <x:x v="1"/>
    <x:s v="Monthly"/>
    <x:s v="Real Estate"/>
    <x:s v="201-500"/>
    <x:n v="48"/>
    <x:n v="233.45"/>
    <x:s v="Referral"/>
    <x:s v="Europe"/>
    <x:d v="2022-09-10T00:00:00"/>
    <x:x v="0"/>
    <x:d v="2023-03-17T00:00:00"/>
    <x:s v="Price Too High"/>
    <x:n v="2"/>
    <x:n v="1"/>
    <x:n v="12"/>
    <x:s v="No"/>
  </x:r>
  <x:r>
    <x:x v="58"/>
    <x:x v="0"/>
    <x:s v="Annual"/>
    <x:s v="Healthcare"/>
    <x:s v="11-50"/>
    <x:n v="28"/>
    <x:n v="339.11"/>
    <x:s v="Social Media"/>
    <x:s v="North America"/>
    <x:d v="2023-12-30T00:00:00"/>
    <x:x v="0"/>
    <x:d v="2024-10-10T00:00:00"/>
    <x:s v="Missing Features"/>
    <x:n v="5"/>
    <x:n v="1"/>
    <x:n v="13"/>
    <x:s v="No"/>
  </x:r>
  <x:r>
    <x:x v="59"/>
    <x:x v="0"/>
    <x:s v="Monthly"/>
    <x:s v="Finance"/>
    <x:s v="51-200"/>
    <x:n v="59"/>
    <x:n v="766.3"/>
    <x:s v="Partner"/>
    <x:s v="Asia Pacific"/>
    <x:d v="2024-07-30T00:00:00"/>
    <x:x v="0"/>
    <x:d v="2024-09-07T00:00:00"/>
    <x:s v="Switched Competitor"/>
    <x:n v="12"/>
    <x:n v="1"/>
    <x:n v="45"/>
    <x:s v="No"/>
  </x:r>
  <x:r>
    <x:x v="60"/>
    <x:x v="2"/>
    <x:s v="Monthly"/>
    <x:s v="Legal"/>
    <x:s v="51-200"/>
    <x:n v="53"/>
    <x:n v="1751.2"/>
    <x:s v="Referral"/>
    <x:s v="Europe"/>
    <x:d v="2022-03-25T00:00:00"/>
    <x:x v="0"/>
    <x:d v="2023-04-06T00:00:00"/>
    <x:s v="Switched Competitor"/>
    <x:n v="13"/>
    <x:n v="5"/>
    <x:n v="11"/>
    <x:s v="No"/>
  </x:r>
  <x:r>
    <x:x v="61"/>
    <x:x v="0"/>
    <x:s v="Monthly"/>
    <x:s v="Finance"/>
    <x:s v="11-50"/>
    <x:n v="21"/>
    <x:n v="316"/>
    <x:s v="Paid Ads"/>
    <x:s v="North America"/>
    <x:d v="2022-10-01T00:00:00"/>
    <x:x v="0"/>
    <x:d v="2024-04-13T00:00:00"/>
    <x:s v="Switched Competitor"/>
    <x:n v="1"/>
    <x:n v="3"/>
    <x:n v="16"/>
    <x:s v="No"/>
  </x:r>
  <x:r>
    <x:x v="62"/>
    <x:x v="3"/>
    <x:s v="Annual"/>
    <x:s v="Retail"/>
    <x:s v="11-50"/>
    <x:n v="18"/>
    <x:n v="1505.73"/>
    <x:s v="Organic Search"/>
    <x:s v="North America"/>
    <x:d v="2025-08-21T00:00:00"/>
    <x:x v="1"/>
    <x:m/>
    <x:s v=""/>
    <x:n v="3"/>
    <x:n v="7"/>
    <x:n v="61"/>
    <x:s v="No"/>
  </x:r>
  <x:r>
    <x:x v="63"/>
    <x:x v="0"/>
    <x:s v="Annual"/>
    <x:s v="Retail"/>
    <x:s v="51-200"/>
    <x:n v="51"/>
    <x:n v="570.77"/>
    <x:s v="Direct Sales"/>
    <x:s v="Asia Pacific"/>
    <x:d v="2022-10-02T00:00:00"/>
    <x:x v="1"/>
    <x:m/>
    <x:s v=""/>
    <x:n v="1"/>
    <x:n v="10"/>
    <x:n v="33"/>
    <x:s v="No"/>
  </x:r>
  <x:r>
    <x:x v="64"/>
    <x:x v="1"/>
    <x:s v="Monthly"/>
    <x:s v="Manufacturing"/>
    <x:s v="201-500"/>
    <x:n v="60"/>
    <x:n v="285.65"/>
    <x:s v="Direct Sales"/>
    <x:s v="North America"/>
    <x:d v="2022-11-12T00:00:00"/>
    <x:x v="0"/>
    <x:d v="2022-11-20T00:00:00"/>
    <x:s v="Poor Support"/>
    <x:n v="13"/>
    <x:n v="3"/>
    <x:n v="46"/>
    <x:s v="No"/>
  </x:r>
  <x:r>
    <x:x v="65"/>
    <x:x v="1"/>
    <x:s v="Annual"/>
    <x:s v="Education"/>
    <x:s v="51-200"/>
    <x:n v="55"/>
    <x:n v="224.31"/>
    <x:s v="Organic Search"/>
    <x:s v="North America"/>
    <x:d v="2024-06-28T00:00:00"/>
    <x:x v="0"/>
    <x:d v="2024-07-21T00:00:00"/>
    <x:s v="Poor Support"/>
    <x:n v="12"/>
    <x:n v="1"/>
    <x:n v="12"/>
    <x:s v="No"/>
  </x:r>
  <x:r>
    <x:x v="66"/>
    <x:x v="2"/>
    <x:s v="Annual"/>
    <x:s v="Media"/>
    <x:s v="1-10"/>
    <x:n v="7"/>
    <x:n v="321.38"/>
    <x:s v="Paid Ads"/>
    <x:s v="North America"/>
    <x:d v="2023-09-28T00:00:00"/>
    <x:x v="1"/>
    <x:m/>
    <x:s v=""/>
    <x:n v="4"/>
    <x:n v="8"/>
    <x:n v="30"/>
    <x:s v="No"/>
  </x:r>
  <x:r>
    <x:x v="67"/>
    <x:x v="0"/>
    <x:s v="Annual"/>
    <x:s v="Education"/>
    <x:s v="1-10"/>
    <x:n v="1"/>
    <x:n v="67.15"/>
    <x:s v="Referral"/>
    <x:s v="Asia Pacific"/>
    <x:d v="2025-12-02T00:00:00"/>
    <x:x v="1"/>
    <x:m/>
    <x:s v=""/>
    <x:n v="7"/>
    <x:n v="3"/>
    <x:n v="29"/>
    <x:s v="No"/>
  </x:r>
  <x:r>
    <x:x v="68"/>
    <x:x v="1"/>
    <x:s v="Annual"/>
    <x:s v="Media"/>
    <x:s v="1-10"/>
    <x:n v="2"/>
    <x:n v="28.35"/>
    <x:s v="Organic Search"/>
    <x:s v="Europe"/>
    <x:d v="2023-07-30T00:00:00"/>
    <x:x v="0"/>
    <x:d v="2024-09-17T00:00:00"/>
    <x:s v="Missing Features"/>
    <x:n v="1"/>
    <x:n v="2"/>
    <x:n v="25"/>
    <x:s v="No"/>
  </x:r>
  <x:r>
    <x:x v="69"/>
    <x:x v="2"/>
    <x:s v="Monthly"/>
    <x:s v="Technology"/>
    <x:s v="51-200"/>
    <x:n v="64"/>
    <x:n v="2079.55"/>
    <x:s v="Organic Search"/>
    <x:s v="North America"/>
    <x:d v="2022-08-25T00:00:00"/>
    <x:x v="0"/>
    <x:d v="2022-08-27T00:00:00"/>
    <x:s v="No Longer Needed"/>
    <x:n v="3"/>
    <x:n v="1"/>
    <x:n v="28"/>
    <x:s v="No"/>
  </x:r>
  <x:r>
    <x:x v="70"/>
    <x:x v="3"/>
    <x:s v="Monthly"/>
    <x:s v="Retail"/>
    <x:s v="201-500"/>
    <x:n v="58"/>
    <x:n v="4765.45"/>
    <x:s v="Organic Search"/>
    <x:s v="Europe"/>
    <x:d v="2022-01-22T00:00:00"/>
    <x:x v="1"/>
    <x:m/>
    <x:s v=""/>
    <x:n v="4"/>
    <x:n v="10"/>
    <x:n v="42"/>
    <x:s v="No"/>
  </x:r>
  <x:r>
    <x:x v="71"/>
    <x:x v="1"/>
    <x:s v="Monthly"/>
    <x:s v="Consulting"/>
    <x:s v="51-200"/>
    <x:n v="31"/>
    <x:n v="159.5"/>
    <x:s v="Organic Search"/>
    <x:s v="North America"/>
    <x:d v="2024-06-21T00:00:00"/>
    <x:x v="1"/>
    <x:m/>
    <x:s v=""/>
    <x:n v="7"/>
    <x:n v="10"/>
    <x:n v="81"/>
    <x:s v="No"/>
  </x:r>
  <x:r>
    <x:x v="72"/>
    <x:x v="0"/>
    <x:s v="Monthly"/>
    <x:s v="Healthcare"/>
    <x:s v="201-500"/>
    <x:n v="106"/>
    <x:n v="1323.25"/>
    <x:s v="Referral"/>
    <x:s v="North America"/>
    <x:d v="2025-05-20T00:00:00"/>
    <x:x v="1"/>
    <x:m/>
    <x:s v=""/>
    <x:n v="7"/>
    <x:n v="2"/>
    <x:n v="87"/>
    <x:s v="Yes"/>
  </x:r>
  <x:r>
    <x:x v="73"/>
    <x:x v="1"/>
    <x:s v="Monthly"/>
    <x:s v="Legal"/>
    <x:s v="51-200"/>
    <x:n v="42"/>
    <x:n v="207.35"/>
    <x:s v="Paid Ads"/>
    <x:s v="North America"/>
    <x:d v="2023-12-14T00:00:00"/>
    <x:x v="0"/>
    <x:d v="2024-12-03T00:00:00"/>
    <x:s v="Company Closed"/>
    <x:n v="12"/>
    <x:n v="3"/>
    <x:n v="10"/>
    <x:s v="No"/>
  </x:r>
  <x:r>
    <x:x v="74"/>
    <x:x v="0"/>
    <x:s v="Monthly"/>
    <x:s v="Retail"/>
    <x:s v="1-10"/>
    <x:n v="6"/>
    <x:n v="138.25"/>
    <x:s v="Paid Ads"/>
    <x:s v="North America"/>
    <x:d v="2022-12-30T00:00:00"/>
    <x:x v="1"/>
    <x:m/>
    <x:s v=""/>
    <x:n v="5"/>
    <x:n v="1"/>
    <x:n v="49"/>
    <x:s v="No"/>
  </x:r>
  <x:r>
    <x:x v="75"/>
    <x:x v="0"/>
    <x:s v="Annual"/>
    <x:s v="Healthcare"/>
    <x:s v="201-500"/>
    <x:n v="56"/>
    <x:n v="621.14"/>
    <x:s v="Referral"/>
    <x:s v="Europe"/>
    <x:d v="2024-03-03T00:00:00"/>
    <x:x v="1"/>
    <x:m/>
    <x:s v=""/>
    <x:n v="2"/>
    <x:n v="5"/>
    <x:n v="87"/>
    <x:s v="No"/>
  </x:r>
  <x:r>
    <x:x v="76"/>
    <x:x v="3"/>
    <x:s v="Monthly"/>
    <x:s v="Media"/>
    <x:s v="51-200"/>
    <x:n v="52"/>
    <x:n v="4316.35"/>
    <x:s v="Partner"/>
    <x:s v="Europe"/>
    <x:d v="2023-05-01T00:00:00"/>
    <x:x v="1"/>
    <x:m/>
    <x:s v=""/>
    <x:n v="4"/>
    <x:n v="7"/>
    <x:n v="88"/>
    <x:s v="No"/>
  </x:r>
  <x:r>
    <x:x v="77"/>
    <x:x v="1"/>
    <x:s v="Annual"/>
    <x:s v="Media"/>
    <x:s v="51-200"/>
    <x:n v="24"/>
    <x:n v="109.69"/>
    <x:s v="Partner"/>
    <x:s v="Europe"/>
    <x:d v="2023-02-21T00:00:00"/>
    <x:x v="0"/>
    <x:d v="2025-09-09T00:00:00"/>
    <x:s v="Budget Cuts"/>
    <x:n v="2"/>
    <x:n v="4"/>
    <x:n v="16"/>
    <x:s v="No"/>
  </x:r>
  <x:r>
    <x:x v="78"/>
    <x:x v="2"/>
    <x:s v="Monthly"/>
    <x:s v="Healthcare"/>
    <x:s v="51-200"/>
    <x:n v="40"/>
    <x:n v="1363.15"/>
    <x:s v="Social Media"/>
    <x:s v="North America"/>
    <x:d v="2024-01-06T00:00:00"/>
    <x:x v="1"/>
    <x:m/>
    <x:s v=""/>
    <x:n v="0"/>
    <x:n v="4"/>
    <x:n v="29"/>
    <x:s v="No"/>
  </x:r>
  <x:r>
    <x:x v="79"/>
    <x:x v="1"/>
    <x:s v="Monthly"/>
    <x:s v="Healthcare"/>
    <x:s v="11-50"/>
    <x:n v="5"/>
    <x:n v="46.4"/>
    <x:s v="Organic Search"/>
    <x:s v="Asia Pacific"/>
    <x:d v="2025-03-05T00:00:00"/>
    <x:x v="0"/>
    <x:d v="2025-04-06T00:00:00"/>
    <x:s v="No Longer Needed"/>
    <x:n v="0"/>
    <x:n v="6"/>
    <x:n v="20"/>
    <x:s v="No"/>
  </x:r>
  <x:r>
    <x:x v="80"/>
    <x:x v="2"/>
    <x:s v="Annual"/>
    <x:s v="Finance"/>
    <x:s v="11-50"/>
    <x:n v="24"/>
    <x:n v="752.72"/>
    <x:s v="Organic Search"/>
    <x:s v="Asia Pacific"/>
    <x:d v="2024-01-17T00:00:00"/>
    <x:x v="1"/>
    <x:m/>
    <x:s v=""/>
    <x:n v="2"/>
    <x:n v="6"/>
    <x:n v="86"/>
    <x:s v="No"/>
  </x:r>
  <x:r>
    <x:x v="81"/>
    <x:x v="1"/>
    <x:s v="Annual"/>
    <x:s v="Technology"/>
    <x:s v="1-10"/>
    <x:n v="1"/>
    <x:n v="24.65"/>
    <x:s v="Social Media"/>
    <x:s v="Europe"/>
    <x:d v="2024-06-19T00:00:00"/>
    <x:x v="0"/>
    <x:d v="2025-06-04T00:00:00"/>
    <x:s v="Budget Cuts"/>
    <x:n v="14"/>
    <x:n v="2"/>
    <x:n v="22"/>
    <x:s v="No"/>
  </x:r>
  <x:r>
    <x:x v="82"/>
    <x:x v="0"/>
    <x:s v="Monthly"/>
    <x:s v="Education"/>
    <x:s v="1-10"/>
    <x:n v="5"/>
    <x:n v="126.4"/>
    <x:s v="Paid Ads"/>
    <x:s v="Asia Pacific"/>
    <x:d v="2025-09-12T00:00:00"/>
    <x:x v="1"/>
    <x:m/>
    <x:s v=""/>
    <x:n v="6"/>
    <x:n v="9"/>
    <x:n v="56"/>
    <x:s v="No"/>
  </x:r>
  <x:r>
    <x:x v="83"/>
    <x:x v="2"/>
    <x:s v="Monthly"/>
    <x:s v="Real Estate"/>
    <x:s v="201-500"/>
    <x:n v="71"/>
    <x:n v="2288.5"/>
    <x:s v="Referral"/>
    <x:s v="Europe"/>
    <x:d v="2023-01-21T00:00:00"/>
    <x:x v="0"/>
    <x:d v="2024-01-17T00:00:00"/>
    <x:s v="Missing Features"/>
    <x:n v="6"/>
    <x:n v="5"/>
    <x:n v="29"/>
    <x:s v="No"/>
  </x:r>
  <x:r>
    <x:x v="84"/>
    <x:x v="1"/>
    <x:s v="Monthly"/>
    <x:s v="Real Estate"/>
    <x:s v="11-50"/>
    <x:n v="21"/>
    <x:n v="116"/>
    <x:s v="Partner"/>
    <x:s v="Latin America"/>
    <x:d v="2025-01-04T00:00:00"/>
    <x:x v="0"/>
    <x:d v="2025-03-14T00:00:00"/>
    <x:s v="Company Closed"/>
    <x:n v="13"/>
    <x:n v="2"/>
    <x:n v="42"/>
    <x:s v="No"/>
  </x:r>
  <x:r>
    <x:x v="85"/>
    <x:x v="2"/>
    <x:s v="Monthly"/>
    <x:s v="Technology"/>
    <x:s v="11-50"/>
    <x:n v="27"/>
    <x:n v="975.1"/>
    <x:s v="Partner"/>
    <x:s v="Europe"/>
    <x:d v="2024-07-06T00:00:00"/>
    <x:x v="1"/>
    <x:m/>
    <x:s v=""/>
    <x:n v="9"/>
    <x:n v="7"/>
    <x:n v="35"/>
    <x:s v="No"/>
  </x:r>
  <x:r>
    <x:x v="86"/>
    <x:x v="0"/>
    <x:s v="Annual"/>
    <x:s v="Education"/>
    <x:s v="51-200"/>
    <x:n v="17"/>
    <x:n v="228.31"/>
    <x:s v="Direct Sales"/>
    <x:s v="Europe"/>
    <x:d v="2024-05-09T00:00:00"/>
    <x:x v="1"/>
    <x:m/>
    <x:s v=""/>
    <x:n v="2"/>
    <x:n v="4"/>
    <x:n v="88"/>
    <x:s v="No"/>
  </x:r>
  <x:r>
    <x:x v="87"/>
    <x:x v="1"/>
    <x:s v="Monthly"/>
    <x:s v="Consulting"/>
    <x:s v="51-200"/>
    <x:n v="76"/>
    <x:n v="355.25"/>
    <x:s v="Referral"/>
    <x:s v="Asia Pacific"/>
    <x:d v="2024-12-15T00:00:00"/>
    <x:x v="0"/>
    <x:d v="2025-05-29T00:00:00"/>
    <x:s v="Budget Cuts"/>
    <x:n v="7"/>
    <x:n v="3"/>
    <x:n v="20"/>
    <x:s v="No"/>
  </x:r>
  <x:r>
    <x:x v="88"/>
    <x:x v="0"/>
    <x:s v="Annual"/>
    <x:s v="Healthcare"/>
    <x:s v="201-500"/>
    <x:n v="75"/>
    <x:n v="812.51"/>
    <x:s v="Organic Search"/>
    <x:s v="Asia Pacific"/>
    <x:d v="2022-11-21T00:00:00"/>
    <x:x v="0"/>
    <x:d v="2023-10-01T00:00:00"/>
    <x:s v="Poor Support"/>
    <x:n v="12"/>
    <x:n v="6"/>
    <x:n v="20"/>
    <x:s v="No"/>
  </x:r>
  <x:r>
    <x:x v="89"/>
    <x:x v="2"/>
    <x:s v="Annual"/>
    <x:s v="Healthcare"/>
    <x:s v="51-200"/>
    <x:n v="67"/>
    <x:n v="1843.73"/>
    <x:s v="Paid Ads"/>
    <x:s v="Europe"/>
    <x:d v="2022-03-28T00:00:00"/>
    <x:x v="0"/>
    <x:d v="2022-11-20T00:00:00"/>
    <x:s v="Switched Competitor"/>
    <x:n v="7"/>
    <x:n v="1"/>
    <x:n v="36"/>
    <x:s v="No"/>
  </x:r>
  <x:r>
    <x:x v="90"/>
    <x:x v="3"/>
    <x:s v="Annual"/>
    <x:s v="Media"/>
    <x:s v="11-50"/>
    <x:n v="20"/>
    <x:n v="1632.98"/>
    <x:s v="Referral"/>
    <x:s v="North America"/>
    <x:d v="2024-10-31T00:00:00"/>
    <x:x v="0"/>
    <x:d v="2025-02-22T00:00:00"/>
    <x:s v="Company Closed"/>
    <x:n v="13"/>
    <x:n v="2"/>
    <x:n v="42"/>
    <x:s v="No"/>
  </x:r>
  <x:r>
    <x:x v="91"/>
    <x:x v="1"/>
    <x:s v="Monthly"/>
    <x:s v="Consulting"/>
    <x:s v="1-10"/>
    <x:n v="5"/>
    <x:n v="46.4"/>
    <x:s v="Partner"/>
    <x:s v="Asia Pacific"/>
    <x:d v="2025-03-16T00:00:00"/>
    <x:x v="1"/>
    <x:m/>
    <x:s v=""/>
    <x:n v="7"/>
    <x:n v="7"/>
    <x:n v="41"/>
    <x:s v="No"/>
  </x:r>
  <x:r>
    <x:x v="92"/>
    <x:x v="1"/>
    <x:s v="Monthly"/>
    <x:s v="Manufacturing"/>
    <x:s v="1-10"/>
    <x:n v="7"/>
    <x:n v="55.1"/>
    <x:s v="Direct Sales"/>
    <x:s v="North America"/>
    <x:d v="2025-10-30T00:00:00"/>
    <x:x v="1"/>
    <x:m/>
    <x:s v=""/>
    <x:n v="2"/>
    <x:n v="10"/>
    <x:n v="63"/>
    <x:s v="No"/>
  </x:r>
  <x:r>
    <x:x v="93"/>
    <x:x v="2"/>
    <x:s v="Monthly"/>
    <x:s v="Education"/>
    <x:s v="500+"/>
    <x:n v="234"/>
    <x:n v="7154.05"/>
    <x:s v="Partner"/>
    <x:s v="North America"/>
    <x:d v="2022-07-29T00:00:00"/>
    <x:x v="0"/>
    <x:d v="2025-09-30T00:00:00"/>
    <x:s v="Poor Support"/>
    <x:n v="4"/>
    <x:n v="6"/>
    <x:n v="14"/>
    <x:s v="No"/>
  </x:r>
  <x:r>
    <x:x v="94"/>
    <x:x v="0"/>
    <x:s v="Monthly"/>
    <x:s v="Finance"/>
    <x:s v="11-50"/>
    <x:n v="14"/>
    <x:n v="233.05"/>
    <x:s v="Paid Ads"/>
    <x:s v="North America"/>
    <x:d v="2022-10-25T00:00:00"/>
    <x:x v="0"/>
    <x:d v="2023-04-09T00:00:00"/>
    <x:s v="Budget Cuts"/>
    <x:n v="5"/>
    <x:n v="6"/>
    <x:n v="11"/>
    <x:s v="No"/>
  </x:r>
  <x:r>
    <x:x v="95"/>
    <x:x v="1"/>
    <x:s v="Monthly"/>
    <x:s v="Legal"/>
    <x:s v="11-50"/>
    <x:n v="15"/>
    <x:n v="89.9"/>
    <x:s v="Direct Sales"/>
    <x:s v="North America"/>
    <x:d v="2023-08-31T00:00:00"/>
    <x:x v="0"/>
    <x:d v="2023-09-26T00:00:00"/>
    <x:s v="Price Too High"/>
    <x:n v="12"/>
    <x:n v="1"/>
    <x:n v="12"/>
    <x:s v="No"/>
  </x:r>
  <x:r>
    <x:x v="96"/>
    <x:x v="3"/>
    <x:s v="Monthly"/>
    <x:s v="Education"/>
    <x:s v="51-200"/>
    <x:n v="31"/>
    <x:n v="2744.5"/>
    <x:s v="Organic Search"/>
    <x:s v="North America"/>
    <x:d v="2023-10-16T00:00:00"/>
    <x:x v="1"/>
    <x:m/>
    <x:s v=""/>
    <x:n v="1"/>
    <x:n v="1"/>
    <x:n v="22"/>
    <x:s v="No"/>
  </x:r>
  <x:r>
    <x:x v="97"/>
    <x:x v="0"/>
    <x:s v="Annual"/>
    <x:s v="Consulting"/>
    <x:s v="1-10"/>
    <x:n v="8"/>
    <x:n v="137.66"/>
    <x:s v="Organic Search"/>
    <x:s v="North America"/>
    <x:d v="2025-11-28T00:00:00"/>
    <x:x v="0"/>
    <x:d v="2025-12-14T00:00:00"/>
    <x:s v="Company Closed"/>
    <x:n v="10"/>
    <x:n v="6"/>
    <x:n v="43"/>
    <x:s v="No"/>
  </x:r>
  <x:r>
    <x:x v="98"/>
    <x:x v="3"/>
    <x:s v="Monthly"/>
    <x:s v="Manufacturing"/>
    <x:s v="11-50"/>
    <x:n v="6"/>
    <x:n v="873.25"/>
    <x:s v="Organic Search"/>
    <x:s v="Asia Pacific"/>
    <x:d v="2022-08-19T00:00:00"/>
    <x:x v="1"/>
    <x:m/>
    <x:s v=""/>
    <x:n v="3"/>
    <x:n v="4"/>
    <x:n v="70"/>
    <x:s v="No"/>
  </x:r>
  <x:r>
    <x:x v="99"/>
    <x:x v="2"/>
    <x:s v="Monthly"/>
    <x:s v="Real Estate"/>
    <x:s v="11-50"/>
    <x:n v="17"/>
    <x:n v="676.6"/>
    <x:s v="Paid Ads"/>
    <x:s v="Europe"/>
    <x:d v="2023-06-11T00:00:00"/>
    <x:x v="1"/>
    <x:m/>
    <x:s v=""/>
    <x:n v="1"/>
    <x:n v="4"/>
    <x:n v="17"/>
    <x:s v="No"/>
  </x:r>
  <x:r>
    <x:x v="100"/>
    <x:x v="1"/>
    <x:s v="Monthly"/>
    <x:s v="Legal"/>
    <x:s v="1-10"/>
    <x:n v="2"/>
    <x:n v="33.35"/>
    <x:s v="Organic Search"/>
    <x:s v="North America"/>
    <x:d v="2024-12-03T00:00:00"/>
    <x:x v="0"/>
    <x:d v="2025-01-28T00:00:00"/>
    <x:s v="Company Closed"/>
    <x:n v="6"/>
    <x:n v="3"/>
    <x:n v="15"/>
    <x:s v="No"/>
  </x:r>
  <x:r>
    <x:x v="101"/>
    <x:x v="0"/>
    <x:s v="Monthly"/>
    <x:s v="Consulting"/>
    <x:s v="500+"/>
    <x:n v="62"/>
    <x:n v="801.85"/>
    <x:s v="Referral"/>
    <x:s v="Latin America"/>
    <x:d v="2023-11-03T00:00:00"/>
    <x:x v="1"/>
    <x:m/>
    <x:s v=""/>
    <x:n v="11"/>
    <x:n v="7"/>
    <x:n v="88"/>
    <x:s v="No"/>
  </x:r>
  <x:r>
    <x:x v="102"/>
    <x:x v="0"/>
    <x:s v="Monthly"/>
    <x:s v="Consulting"/>
    <x:s v="1-10"/>
    <x:n v="4"/>
    <x:n v="114.55"/>
    <x:s v="Social Media"/>
    <x:s v="Europe"/>
    <x:d v="2024-04-24T00:00:00"/>
    <x:x v="1"/>
    <x:m/>
    <x:s v=""/>
    <x:n v="0"/>
    <x:n v="6"/>
    <x:n v="32"/>
    <x:s v="No"/>
  </x:r>
  <x:r>
    <x:x v="103"/>
    <x:x v="2"/>
    <x:s v="Monthly"/>
    <x:s v="Education"/>
    <x:s v="11-50"/>
    <x:n v="17"/>
    <x:n v="676.6"/>
    <x:s v="Organic Search"/>
    <x:s v="Europe"/>
    <x:d v="2024-11-30T00:00:00"/>
    <x:x v="0"/>
    <x:d v="2025-05-31T00:00:00"/>
    <x:s v="Budget Cuts"/>
    <x:n v="12"/>
    <x:n v="1"/>
    <x:n v="30"/>
    <x:s v="No"/>
  </x:r>
  <x:r>
    <x:x v="104"/>
    <x:x v="0"/>
    <x:s v="Monthly"/>
    <x:s v="Manufacturing"/>
    <x:s v="201-500"/>
    <x:n v="42"/>
    <x:n v="564.85"/>
    <x:s v="Paid Ads"/>
    <x:s v="Latin America"/>
    <x:d v="2023-12-21T00:00:00"/>
    <x:x v="1"/>
    <x:m/>
    <x:s v=""/>
    <x:n v="6"/>
    <x:n v="5"/>
    <x:n v="53"/>
    <x:s v="Yes"/>
  </x:r>
  <x:r>
    <x:x v="105"/>
    <x:x v="1"/>
    <x:s v="Monthly"/>
    <x:s v="Retail"/>
    <x:s v="1-10"/>
    <x:n v="1"/>
    <x:n v="29"/>
    <x:s v="Referral"/>
    <x:s v="Asia Pacific"/>
    <x:d v="2024-11-18T00:00:00"/>
    <x:x v="0"/>
    <x:d v="2025-02-24T00:00:00"/>
    <x:s v="Poor Support"/>
    <x:n v="4"/>
    <x:n v="3"/>
    <x:n v="20"/>
    <x:s v="No"/>
  </x:r>
  <x:r>
    <x:x v="106"/>
    <x:x v="2"/>
    <x:s v="Monthly"/>
    <x:s v="Legal"/>
    <x:s v="500+"/>
    <x:n v="139"/>
    <x:n v="4318.3"/>
    <x:s v="Referral"/>
    <x:s v="Europe"/>
    <x:d v="2022-08-18T00:00:00"/>
    <x:x v="0"/>
    <x:d v="2024-05-09T00:00:00"/>
    <x:s v="No Longer Needed"/>
    <x:n v="11"/>
    <x:n v="2"/>
    <x:n v="24"/>
    <x:s v="No"/>
  </x:r>
  <x:r>
    <x:x v="107"/>
    <x:x v="2"/>
    <x:s v="Annual"/>
    <x:s v="Consulting"/>
    <x:s v="51-200"/>
    <x:n v="30"/>
    <x:n v="904.95"/>
    <x:s v="Organic Search"/>
    <x:s v="North America"/>
    <x:d v="2025-08-16T00:00:00"/>
    <x:x v="1"/>
    <x:m/>
    <x:s v=""/>
    <x:n v="11"/>
    <x:n v="5"/>
    <x:n v="48"/>
    <x:s v="No"/>
  </x:r>
  <x:r>
    <x:x v="108"/>
    <x:x v="2"/>
    <x:s v="Annual"/>
    <x:s v="Finance"/>
    <x:s v="51-200"/>
    <x:n v="16"/>
    <x:n v="549.74"/>
    <x:s v="Organic Search"/>
    <x:s v="Asia Pacific"/>
    <x:d v="2022-11-03T00:00:00"/>
    <x:x v="1"/>
    <x:m/>
    <x:s v=""/>
    <x:n v="0"/>
    <x:n v="9"/>
    <x:n v="57"/>
    <x:s v="No"/>
  </x:r>
  <x:r>
    <x:x v="109"/>
    <x:x v="0"/>
    <x:s v="Annual"/>
    <x:s v="Retail"/>
    <x:s v="201-500"/>
    <x:n v="58"/>
    <x:n v="641.28"/>
    <x:s v="Referral"/>
    <x:s v="Europe"/>
    <x:d v="2023-10-02T00:00:00"/>
    <x:x v="0"/>
    <x:d v="2025-05-01T00:00:00"/>
    <x:s v="Missing Features"/>
    <x:n v="12"/>
    <x:n v="3"/>
    <x:n v="38"/>
    <x:s v="No"/>
  </x:r>
  <x:r>
    <x:x v="110"/>
    <x:x v="1"/>
    <x:s v="Annual"/>
    <x:s v="Consulting"/>
    <x:s v="11-50"/>
    <x:n v="5"/>
    <x:n v="39.44"/>
    <x:s v="Partner"/>
    <x:s v="Europe"/>
    <x:d v="2022-12-22T00:00:00"/>
    <x:x v="0"/>
    <x:d v="2023-11-12T00:00:00"/>
    <x:s v="Switched Competitor"/>
    <x:n v="15"/>
    <x:n v="5"/>
    <x:n v="29"/>
    <x:s v="No"/>
  </x:r>
  <x:r>
    <x:x v="111"/>
    <x:x v="0"/>
    <x:s v="Monthly"/>
    <x:s v="Finance"/>
    <x:s v="201-500"/>
    <x:n v="42"/>
    <x:n v="564.85"/>
    <x:s v="Direct Sales"/>
    <x:s v="North America"/>
    <x:d v="2022-01-27T00:00:00"/>
    <x:x v="0"/>
    <x:d v="2022-05-07T00:00:00"/>
    <x:s v="Budget Cuts"/>
    <x:n v="7"/>
    <x:n v="2"/>
    <x:n v="40"/>
    <x:s v="No"/>
  </x:r>
  <x:r>
    <x:x v="112"/>
    <x:x v="2"/>
    <x:s v="Monthly"/>
    <x:s v="Consulting"/>
    <x:s v="11-50"/>
    <x:n v="20"/>
    <x:n v="766.15"/>
    <x:s v="Referral"/>
    <x:s v="North America"/>
    <x:d v="2023-06-10T00:00:00"/>
    <x:x v="0"/>
    <x:d v="2023-10-31T00:00:00"/>
    <x:s v="Company Closed"/>
    <x:n v="3"/>
    <x:n v="4"/>
    <x:n v="22"/>
    <x:s v="No"/>
  </x:r>
  <x:r>
    <x:x v="113"/>
    <x:x v="1"/>
    <x:s v="Monthly"/>
    <x:s v="Technology"/>
    <x:s v="500+"/>
    <x:n v="235"/>
    <x:n v="1046.9"/>
    <x:s v="Referral"/>
    <x:s v="Asia Pacific"/>
    <x:d v="2022-06-06T00:00:00"/>
    <x:x v="0"/>
    <x:d v="2022-06-19T00:00:00"/>
    <x:s v="Company Closed"/>
    <x:n v="11"/>
    <x:n v="1"/>
    <x:n v="23"/>
    <x:s v="No"/>
  </x:r>
  <x:r>
    <x:x v="114"/>
    <x:x v="1"/>
    <x:s v="Annual"/>
    <x:s v="Legal"/>
    <x:s v="201-500"/>
    <x:n v="31"/>
    <x:n v="135.57"/>
    <x:s v="Organic Search"/>
    <x:s v="Latin America"/>
    <x:d v="2024-08-28T00:00:00"/>
    <x:x v="1"/>
    <x:m/>
    <x:s v=""/>
    <x:n v="0"/>
    <x:n v="5"/>
    <x:n v="75"/>
    <x:s v="No"/>
  </x:r>
  <x:r>
    <x:x v="115"/>
    <x:x v="0"/>
    <x:s v="Monthly"/>
    <x:s v="Technology"/>
    <x:s v="51-200"/>
    <x:n v="16"/>
    <x:n v="256.75"/>
    <x:s v="Organic Search"/>
    <x:s v="North America"/>
    <x:d v="2025-09-03T00:00:00"/>
    <x:x v="1"/>
    <x:m/>
    <x:s v=""/>
    <x:n v="0"/>
    <x:n v="2"/>
    <x:n v="25"/>
    <x:s v="No"/>
  </x:r>
  <x:r>
    <x:x v="116"/>
    <x:x v="0"/>
    <x:s v="Annual"/>
    <x:s v="Media"/>
    <x:s v="51-200"/>
    <x:n v="25"/>
    <x:n v="308.89"/>
    <x:s v="Paid Ads"/>
    <x:s v="Asia Pacific"/>
    <x:d v="2024-03-13T00:00:00"/>
    <x:x v="0"/>
    <x:d v="2025-06-14T00:00:00"/>
    <x:s v="Budget Cuts"/>
    <x:n v="0"/>
    <x:n v="2"/>
    <x:n v="28"/>
    <x:s v="No"/>
  </x:r>
  <x:r>
    <x:x v="117"/>
    <x:x v="0"/>
    <x:s v="Monthly"/>
    <x:s v="Manufacturing"/>
    <x:s v="11-50"/>
    <x:n v="17"/>
    <x:n v="268.6"/>
    <x:s v="Partner"/>
    <x:s v="Europe"/>
    <x:d v="2024-12-31T00:00:00"/>
    <x:x v="0"/>
    <x:d v="2025-03-14T00:00:00"/>
    <x:s v="No Longer Needed"/>
    <x:n v="0"/>
    <x:n v="5"/>
    <x:n v="25"/>
    <x:s v="No"/>
  </x:r>
  <x:r>
    <x:x v="118"/>
    <x:x v="0"/>
    <x:s v="Monthly"/>
    <x:s v="Education"/>
    <x:s v="11-50"/>
    <x:n v="28"/>
    <x:n v="398.95"/>
    <x:s v="Organic Search"/>
    <x:s v="North America"/>
    <x:d v="2022-11-01T00:00:00"/>
    <x:x v="1"/>
    <x:m/>
    <x:s v=""/>
    <x:n v="9"/>
    <x:n v="8"/>
    <x:n v="44"/>
    <x:s v="No"/>
  </x:r>
  <x:r>
    <x:x v="119"/>
    <x:x v="0"/>
    <x:s v="Annual"/>
    <x:s v="Finance"/>
    <x:s v="1-10"/>
    <x:n v="2"/>
    <x:n v="77.22"/>
    <x:s v="Partner"/>
    <x:s v="North America"/>
    <x:d v="2022-03-26T00:00:00"/>
    <x:x v="1"/>
    <x:m/>
    <x:s v=""/>
    <x:n v="3"/>
    <x:n v="4"/>
    <x:n v="22"/>
    <x:s v="No"/>
  </x:r>
  <x:r>
    <x:x v="120"/>
    <x:x v="1"/>
    <x:s v="Annual"/>
    <x:s v="Media"/>
    <x:s v="11-50"/>
    <x:n v="32"/>
    <x:n v="139.27"/>
    <x:s v="Organic Search"/>
    <x:s v="North America"/>
    <x:d v="2025-07-18T00:00:00"/>
    <x:x v="1"/>
    <x:m/>
    <x:s v=""/>
    <x:n v="6"/>
    <x:n v="2"/>
    <x:n v="81"/>
    <x:s v="No"/>
  </x:r>
  <x:r>
    <x:x v="121"/>
    <x:x v="2"/>
    <x:s v="Monthly"/>
    <x:s v="Manufacturing"/>
    <x:s v="51-200"/>
    <x:n v="72"/>
    <x:n v="2318.35"/>
    <x:s v="Paid Ads"/>
    <x:s v="North America"/>
    <x:d v="2024-07-07T00:00:00"/>
    <x:x v="1"/>
    <x:m/>
    <x:s v=""/>
    <x:n v="4"/>
    <x:n v="7"/>
    <x:n v="50"/>
    <x:s v="Yes"/>
  </x:r>
  <x:r>
    <x:x v="122"/>
    <x:x v="1"/>
    <x:s v="Annual"/>
    <x:s v="Healthcare"/>
    <x:s v="51-200"/>
    <x:n v="26"/>
    <x:n v="117.09"/>
    <x:s v="Organic Search"/>
    <x:s v="Asia Pacific"/>
    <x:d v="2024-07-13T00:00:00"/>
    <x:x v="1"/>
    <x:m/>
    <x:s v=""/>
    <x:n v="4"/>
    <x:n v="4"/>
    <x:n v="48"/>
    <x:s v="No"/>
  </x:r>
  <x:r>
    <x:x v="123"/>
    <x:x v="0"/>
    <x:s v="Monthly"/>
    <x:s v="Legal"/>
    <x:s v="51-200"/>
    <x:n v="71"/>
    <x:n v="908.5"/>
    <x:s v="Referral"/>
    <x:s v="North America"/>
    <x:d v="2022-12-15T00:00:00"/>
    <x:x v="1"/>
    <x:m/>
    <x:s v=""/>
    <x:n v="2"/>
    <x:n v="5"/>
    <x:n v="31"/>
    <x:s v="No"/>
  </x:r>
  <x:r>
    <x:x v="124"/>
    <x:x v="2"/>
    <x:s v="Annual"/>
    <x:s v="Legal"/>
    <x:s v="1-10"/>
    <x:n v="4"/>
    <x:n v="245.27"/>
    <x:s v="Paid Ads"/>
    <x:s v="Europe"/>
    <x:d v="2025-03-12T00:00:00"/>
    <x:x v="1"/>
    <x:m/>
    <x:s v=""/>
    <x:n v="11"/>
    <x:n v="6"/>
    <x:n v="36"/>
    <x:s v="Yes"/>
  </x:r>
  <x:r>
    <x:x v="125"/>
    <x:x v="0"/>
    <x:s v="Monthly"/>
    <x:s v="Healthcare"/>
    <x:s v="11-50"/>
    <x:n v="20"/>
    <x:n v="304.15"/>
    <x:s v="Organic Search"/>
    <x:s v="North America"/>
    <x:d v="2023-06-14T00:00:00"/>
    <x:x v="1"/>
    <x:m/>
    <x:s v=""/>
    <x:n v="1"/>
    <x:n v="5"/>
    <x:n v="40"/>
    <x:s v="Yes"/>
  </x:r>
  <x:r>
    <x:x v="126"/>
    <x:x v="1"/>
    <x:s v="Monthly"/>
    <x:s v="Consulting"/>
    <x:s v="11-50"/>
    <x:n v="27"/>
    <x:n v="142.1"/>
    <x:s v="Paid Ads"/>
    <x:s v="North America"/>
    <x:d v="2024-12-10T00:00:00"/>
    <x:x v="0"/>
    <x:d v="2025-01-15T00:00:00"/>
    <x:s v="Company Closed"/>
    <x:n v="3"/>
    <x:n v="3"/>
    <x:n v="38"/>
    <x:s v="No"/>
  </x:r>
  <x:r>
    <x:x v="127"/>
    <x:x v="1"/>
    <x:s v="Monthly"/>
    <x:s v="Retail"/>
    <x:s v="201-500"/>
    <x:n v="46"/>
    <x:n v="224.75"/>
    <x:s v="Paid Ads"/>
    <x:s v="Asia Pacific"/>
    <x:d v="2022-12-30T00:00:00"/>
    <x:x v="0"/>
    <x:d v="2023-04-24T00:00:00"/>
    <x:s v="No Longer Needed"/>
    <x:n v="10"/>
    <x:n v="2"/>
    <x:n v="33"/>
    <x:s v="No"/>
  </x:r>
  <x:r>
    <x:x v="128"/>
    <x:x v="1"/>
    <x:s v="Monthly"/>
    <x:s v="Finance"/>
    <x:s v="51-200"/>
    <x:n v="31"/>
    <x:n v="159.5"/>
    <x:s v="Referral"/>
    <x:s v="North America"/>
    <x:d v="2022-08-24T00:00:00"/>
    <x:x v="0"/>
    <x:d v="2022-09-27T00:00:00"/>
    <x:s v="Missing Features"/>
    <x:n v="10"/>
    <x:n v="4"/>
    <x:n v="22"/>
    <x:s v="No"/>
  </x:r>
  <x:r>
    <x:x v="129"/>
    <x:x v="0"/>
    <x:s v="Monthly"/>
    <x:s v="Manufacturing"/>
    <x:s v="1-10"/>
    <x:n v="8"/>
    <x:n v="161.95"/>
    <x:s v="Organic Search"/>
    <x:s v="Latin America"/>
    <x:d v="2025-07-04T00:00:00"/>
    <x:x v="1"/>
    <x:m/>
    <x:s v=""/>
    <x:n v="6"/>
    <x:n v="1"/>
    <x:n v="68"/>
    <x:s v="No"/>
  </x:r>
  <x:r>
    <x:x v="130"/>
    <x:x v="2"/>
    <x:s v="Annual"/>
    <x:s v="Legal"/>
    <x:s v="11-50"/>
    <x:n v="6"/>
    <x:n v="296.01"/>
    <x:s v="Partner"/>
    <x:s v="Latin America"/>
    <x:d v="2025-01-02T00:00:00"/>
    <x:x v="1"/>
    <x:m/>
    <x:s v=""/>
    <x:n v="11"/>
    <x:n v="9"/>
    <x:n v="36"/>
    <x:s v="No"/>
  </x:r>
  <x:r>
    <x:x v="131"/>
    <x:x v="1"/>
    <x:s v="Annual"/>
    <x:s v="Consulting"/>
    <x:s v="1-10"/>
    <x:n v="8"/>
    <x:n v="50.53"/>
    <x:s v="Social Media"/>
    <x:s v="North America"/>
    <x:d v="2025-10-20T00:00:00"/>
    <x:x v="1"/>
    <x:m/>
    <x:s v=""/>
    <x:n v="7"/>
    <x:n v="3"/>
    <x:n v="90"/>
    <x:s v="No"/>
  </x:r>
  <x:r>
    <x:x v="132"/>
    <x:x v="3"/>
    <x:s v="Monthly"/>
    <x:s v="Consulting"/>
    <x:s v="1-10"/>
    <x:n v="1"/>
    <x:n v="499"/>
    <x:s v="Referral"/>
    <x:s v="North America"/>
    <x:d v="2025-03-11T00:00:00"/>
    <x:x v="1"/>
    <x:m/>
    <x:s v=""/>
    <x:n v="7"/>
    <x:n v="8"/>
    <x:n v="22"/>
    <x:s v="No"/>
  </x:r>
  <x:r>
    <x:x v="133"/>
    <x:x v="2"/>
    <x:s v="Annual"/>
    <x:s v="Manufacturing"/>
    <x:s v="51-200"/>
    <x:n v="71"/>
    <x:n v="1945.22"/>
    <x:s v="Referral"/>
    <x:s v="Latin America"/>
    <x:d v="2022-02-15T00:00:00"/>
    <x:x v="0"/>
    <x:d v="2025-07-10T00:00:00"/>
    <x:s v="Missing Features"/>
    <x:n v="11"/>
    <x:n v="5"/>
    <x:n v="31"/>
    <x:s v="No"/>
  </x:r>
  <x:r>
    <x:x v="134"/>
    <x:x v="0"/>
    <x:s v="Monthly"/>
    <x:s v="Retail"/>
    <x:s v="11-50"/>
    <x:n v="25"/>
    <x:n v="363.4"/>
    <x:s v="Paid Ads"/>
    <x:s v="Asia Pacific"/>
    <x:d v="2022-08-16T00:00:00"/>
    <x:x v="1"/>
    <x:m/>
    <x:s v=""/>
    <x:n v="5"/>
    <x:n v="9"/>
    <x:n v="85"/>
    <x:s v="No"/>
  </x:r>
  <x:r>
    <x:x v="135"/>
    <x:x v="0"/>
    <x:s v="Annual"/>
    <x:s v="Technology"/>
    <x:s v="500+"/>
    <x:n v="106"/>
    <x:n v="1124.76"/>
    <x:s v="Partner"/>
    <x:s v="North America"/>
    <x:d v="2022-03-06T00:00:00"/>
    <x:x v="1"/>
    <x:m/>
    <x:s v=""/>
    <x:n v="4"/>
    <x:n v="4"/>
    <x:n v="87"/>
    <x:s v="No"/>
  </x:r>
  <x:r>
    <x:x v="136"/>
    <x:x v="1"/>
    <x:s v="Annual"/>
    <x:s v="Real Estate"/>
    <x:s v="11-50"/>
    <x:n v="9"/>
    <x:n v="54.23"/>
    <x:s v="Organic Search"/>
    <x:s v="North America"/>
    <x:d v="2023-05-07T00:00:00"/>
    <x:x v="0"/>
    <x:d v="2024-02-16T00:00:00"/>
    <x:s v="Poor Support"/>
    <x:n v="4"/>
    <x:n v="2"/>
    <x:n v="41"/>
    <x:s v="No"/>
  </x:r>
  <x:r>
    <x:x v="137"/>
    <x:x v="1"/>
    <x:s v="Monthly"/>
    <x:s v="Healthcare"/>
    <x:s v="11-50"/>
    <x:n v="21"/>
    <x:n v="116"/>
    <x:s v="Direct Sales"/>
    <x:s v="Europe"/>
    <x:d v="2022-08-01T00:00:00"/>
    <x:x v="0"/>
    <x:d v="2022-09-08T00:00:00"/>
    <x:s v="Price Too High"/>
    <x:n v="1"/>
    <x:n v="3"/>
    <x:n v="19"/>
    <x:s v="No"/>
  </x:r>
  <x:r>
    <x:x v="138"/>
    <x:x v="1"/>
    <x:s v="Monthly"/>
    <x:s v="Finance"/>
    <x:s v="11-50"/>
    <x:n v="5"/>
    <x:n v="46.4"/>
    <x:s v="Referral"/>
    <x:s v="North America"/>
    <x:d v="2025-01-06T00:00:00"/>
    <x:x v="0"/>
    <x:d v="2025-12-19T00:00:00"/>
    <x:s v="Budget Cuts"/>
    <x:n v="7"/>
    <x:n v="3"/>
    <x:n v="22"/>
    <x:s v="No"/>
  </x:r>
  <x:r>
    <x:x v="139"/>
    <x:x v="1"/>
    <x:s v="Monthly"/>
    <x:s v="Retail"/>
    <x:s v="201-500"/>
    <x:n v="131"/>
    <x:n v="594.5"/>
    <x:s v="Partner"/>
    <x:s v="North America"/>
    <x:d v="2022-02-21T00:00:00"/>
    <x:x v="0"/>
    <x:d v="2022-07-22T00:00:00"/>
    <x:s v="Company Closed"/>
    <x:n v="9"/>
    <x:n v="3"/>
    <x:n v="16"/>
    <x:s v="No"/>
  </x:r>
  <x:r>
    <x:x v="140"/>
    <x:x v="2"/>
    <x:s v="Annual"/>
    <x:s v="Legal"/>
    <x:s v="51-200"/>
    <x:n v="18"/>
    <x:n v="600.48"/>
    <x:s v="Paid Ads"/>
    <x:s v="North America"/>
    <x:d v="2024-03-17T00:00:00"/>
    <x:x v="1"/>
    <x:m/>
    <x:s v=""/>
    <x:n v="8"/>
    <x:n v="4"/>
    <x:n v="33"/>
    <x:s v="No"/>
  </x:r>
  <x:r>
    <x:x v="141"/>
    <x:x v="1"/>
    <x:s v="Annual"/>
    <x:s v="Education"/>
    <x:s v="51-200"/>
    <x:n v="28"/>
    <x:n v="124.48"/>
    <x:s v="Social Media"/>
    <x:s v="North America"/>
    <x:d v="2024-08-30T00:00:00"/>
    <x:x v="1"/>
    <x:m/>
    <x:s v=""/>
    <x:n v="8"/>
    <x:n v="3"/>
    <x:n v="32"/>
    <x:s v="No"/>
  </x:r>
  <x:r>
    <x:x v="142"/>
    <x:x v="2"/>
    <x:s v="Annual"/>
    <x:s v="Finance"/>
    <x:s v="1-10"/>
    <x:n v="7"/>
    <x:n v="321.38"/>
    <x:s v="Organic Search"/>
    <x:s v="North America"/>
    <x:d v="2025-09-28T00:00:00"/>
    <x:x v="1"/>
    <x:m/>
    <x:s v=""/>
    <x:n v="12"/>
    <x:n v="1"/>
    <x:n v="43"/>
    <x:s v="No"/>
  </x:r>
  <x:r>
    <x:x v="143"/>
    <x:x v="1"/>
    <x:s v="Monthly"/>
    <x:s v="Real Estate"/>
    <x:s v="1-10"/>
    <x:n v="6"/>
    <x:n v="50.75"/>
    <x:s v="Organic Search"/>
    <x:s v="North America"/>
    <x:d v="2023-04-02T00:00:00"/>
    <x:x v="0"/>
    <x:d v="2023-07-22T00:00:00"/>
    <x:s v="Missing Features"/>
    <x:n v="3"/>
    <x:n v="1"/>
    <x:n v="44"/>
    <x:s v="No"/>
  </x:r>
  <x:r>
    <x:x v="144"/>
    <x:x v="0"/>
    <x:s v="Annual"/>
    <x:s v="Finance"/>
    <x:s v="11-50"/>
    <x:n v="8"/>
    <x:n v="137.66"/>
    <x:s v="Direct Sales"/>
    <x:s v="North America"/>
    <x:d v="2023-12-17T00:00:00"/>
    <x:x v="0"/>
    <x:d v="2024-11-17T00:00:00"/>
    <x:s v="Poor Support"/>
    <x:n v="3"/>
    <x:n v="3"/>
    <x:n v="30"/>
    <x:s v="No"/>
  </x:r>
  <x:r>
    <x:x v="145"/>
    <x:x v="3"/>
    <x:s v="Monthly"/>
    <x:s v="Legal"/>
    <x:s v="11-50"/>
    <x:n v="15"/>
    <x:n v="1546.9"/>
    <x:s v="Organic Search"/>
    <x:s v="North America"/>
    <x:d v="2022-06-27T00:00:00"/>
    <x:x v="1"/>
    <x:m/>
    <x:s v=""/>
    <x:n v="1"/>
    <x:n v="5"/>
    <x:n v="61"/>
    <x:s v="No"/>
  </x:r>
  <x:r>
    <x:x v="146"/>
    <x:x v="1"/>
    <x:s v="Annual"/>
    <x:s v="Manufacturing"/>
    <x:s v="1-10"/>
    <x:n v="6"/>
    <x:n v="43.14"/>
    <x:s v="Paid Ads"/>
    <x:s v="North America"/>
    <x:d v="2023-10-05T00:00:00"/>
    <x:x v="0"/>
    <x:d v="2023-11-21T00:00:00"/>
    <x:s v="Price Too High"/>
    <x:n v="5"/>
    <x:n v="3"/>
    <x:n v="15"/>
    <x:s v="No"/>
  </x:r>
  <x:r>
    <x:x v="147"/>
    <x:x v="3"/>
    <x:s v="Monthly"/>
    <x:s v="Media"/>
    <x:s v="51-200"/>
    <x:n v="73"/>
    <x:n v="5888.2"/>
    <x:s v="Organic Search"/>
    <x:s v="Europe"/>
    <x:d v="2025-02-26T00:00:00"/>
    <x:x v="1"/>
    <x:m/>
    <x:s v=""/>
    <x:n v="5"/>
    <x:n v="2"/>
    <x:n v="54"/>
    <x:s v="No"/>
  </x:r>
  <x:r>
    <x:x v="148"/>
    <x:x v="0"/>
    <x:s v="Monthly"/>
    <x:s v="Manufacturing"/>
    <x:s v="1-10"/>
    <x:n v="1"/>
    <x:n v="79"/>
    <x:s v="Direct Sales"/>
    <x:s v="North America"/>
    <x:d v="2025-07-28T00:00:00"/>
    <x:x v="1"/>
    <x:m/>
    <x:s v=""/>
    <x:n v="11"/>
    <x:n v="6"/>
    <x:n v="74"/>
    <x:s v="No"/>
  </x:r>
  <x:r>
    <x:x v="149"/>
    <x:x v="0"/>
    <x:s v="Monthly"/>
    <x:s v="Manufacturing"/>
    <x:s v="11-50"/>
    <x:n v="26"/>
    <x:n v="375.25"/>
    <x:s v="Organic Search"/>
    <x:s v="Latin America"/>
    <x:d v="2023-07-02T00:00:00"/>
    <x:x v="0"/>
    <x:d v="2024-02-24T00:00:00"/>
    <x:s v="Price Too High"/>
    <x:n v="13"/>
    <x:n v="1"/>
    <x:n v="29"/>
    <x:s v="No"/>
  </x:r>
  <x:r>
    <x:x v="150"/>
    <x:x v="1"/>
    <x:s v="Monthly"/>
    <x:s v="Retail"/>
    <x:s v="1-10"/>
    <x:n v="5"/>
    <x:n v="46.4"/>
    <x:s v="Social Media"/>
    <x:s v="North America"/>
    <x:d v="2024-05-26T00:00:00"/>
    <x:x v="0"/>
    <x:d v="2024-12-06T00:00:00"/>
    <x:s v="No Longer Needed"/>
    <x:n v="7"/>
    <x:n v="5"/>
    <x:n v="15"/>
    <x:s v="No"/>
  </x:r>
  <x:r>
    <x:x v="151"/>
    <x:x v="2"/>
    <x:s v="Annual"/>
    <x:s v="Retail"/>
    <x:s v="500+"/>
    <x:n v="199"/>
    <x:n v="5192.9"/>
    <x:s v="Partner"/>
    <x:s v="North America"/>
    <x:d v="2023-06-09T00:00:00"/>
    <x:x v="0"/>
    <x:d v="2024-08-22T00:00:00"/>
    <x:s v="Poor Support"/>
    <x:n v="4"/>
    <x:n v="5"/>
    <x:n v="36"/>
    <x:s v="No"/>
  </x:r>
  <x:r>
    <x:x v="152"/>
    <x:x v="1"/>
    <x:s v="Monthly"/>
    <x:s v="Retail"/>
    <x:s v="1-10"/>
    <x:n v="6"/>
    <x:n v="50.75"/>
    <x:s v="Partner"/>
    <x:s v="North America"/>
    <x:d v="2025-05-09T00:00:00"/>
    <x:x v="0"/>
    <x:d v="2025-11-30T00:00:00"/>
    <x:s v="Budget Cuts"/>
    <x:n v="8"/>
    <x:n v="4"/>
    <x:n v="18"/>
    <x:s v="No"/>
  </x:r>
  <x:r>
    <x:x v="153"/>
    <x:x v="0"/>
    <x:s v="Annual"/>
    <x:s v="Legal"/>
    <x:s v="1-10"/>
    <x:n v="1"/>
    <x:n v="67.15"/>
    <x:s v="Partner"/>
    <x:s v="Europe"/>
    <x:d v="2024-08-11T00:00:00"/>
    <x:x v="0"/>
    <x:d v="2025-02-26T00:00:00"/>
    <x:s v="Poor Support"/>
    <x:n v="1"/>
    <x:n v="5"/>
    <x:n v="14"/>
    <x:s v="No"/>
  </x:r>
  <x:r>
    <x:x v="154"/>
    <x:x v="1"/>
    <x:s v="Monthly"/>
    <x:s v="Consulting"/>
    <x:s v="500+"/>
    <x:n v="230"/>
    <x:n v="1025.15"/>
    <x:s v="Referral"/>
    <x:s v="Asia Pacific"/>
    <x:d v="2022-10-14T00:00:00"/>
    <x:x v="0"/>
    <x:d v="2024-04-03T00:00:00"/>
    <x:s v="Price Too High"/>
    <x:n v="6"/>
    <x:n v="2"/>
    <x:n v="35"/>
    <x:s v="No"/>
  </x:r>
  <x:r>
    <x:x v="155"/>
    <x:x v="2"/>
    <x:s v="Monthly"/>
    <x:s v="Healthcare"/>
    <x:s v="11-50"/>
    <x:n v="7"/>
    <x:n v="378.1"/>
    <x:s v="Organic Search"/>
    <x:s v="North America"/>
    <x:d v="2024-09-20T00:00:00"/>
    <x:x v="1"/>
    <x:m/>
    <x:s v=""/>
    <x:n v="4"/>
    <x:n v="5"/>
    <x:n v="83"/>
    <x:s v="No"/>
  </x:r>
  <x:r>
    <x:x v="156"/>
    <x:x v="0"/>
    <x:s v="Annual"/>
    <x:s v="Education"/>
    <x:s v="1-10"/>
    <x:n v="5"/>
    <x:n v="107.44"/>
    <x:s v="Direct Sales"/>
    <x:s v="Europe"/>
    <x:d v="2023-08-06T00:00:00"/>
    <x:x v="1"/>
    <x:m/>
    <x:s v=""/>
    <x:n v="9"/>
    <x:n v="2"/>
    <x:n v="80"/>
    <x:s v="No"/>
  </x:r>
  <x:r>
    <x:x v="157"/>
    <x:x v="3"/>
    <x:s v="Monthly"/>
    <x:s v="Technology"/>
    <x:s v="11-50"/>
    <x:n v="20"/>
    <x:n v="1921.15"/>
    <x:s v="Organic Search"/>
    <x:s v="Latin America"/>
    <x:d v="2023-04-18T00:00:00"/>
    <x:x v="1"/>
    <x:m/>
    <x:s v=""/>
    <x:n v="6"/>
    <x:n v="2"/>
    <x:n v="35"/>
    <x:s v="No"/>
  </x:r>
  <x:r>
    <x:x v="158"/>
    <x:x v="1"/>
    <x:s v="Annual"/>
    <x:s v="Manufacturing"/>
    <x:s v="51-200"/>
    <x:n v="66"/>
    <x:n v="264.99"/>
    <x:s v="Referral"/>
    <x:s v="Asia Pacific"/>
    <x:d v="2025-10-25T00:00:00"/>
    <x:x v="1"/>
    <x:m/>
    <x:s v=""/>
    <x:n v="8"/>
    <x:n v="8"/>
    <x:n v="30"/>
    <x:s v="No"/>
  </x:r>
  <x:r>
    <x:x v="159"/>
    <x:x v="0"/>
    <x:s v="Annual"/>
    <x:s v="Legal"/>
    <x:s v="51-200"/>
    <x:n v="71"/>
    <x:n v="772.22"/>
    <x:s v="Organic Search"/>
    <x:s v="Asia Pacific"/>
    <x:d v="2025-01-07T00:00:00"/>
    <x:x v="1"/>
    <x:m/>
    <x:s v=""/>
    <x:n v="9"/>
    <x:n v="5"/>
    <x:n v="93"/>
    <x:s v="No"/>
  </x:r>
  <x:r>
    <x:x v="160"/>
    <x:x v="2"/>
    <x:s v="Annual"/>
    <x:s v="Education"/>
    <x:s v="1-10"/>
    <x:n v="4"/>
    <x:n v="245.27"/>
    <x:s v="Partner"/>
    <x:s v="Europe"/>
    <x:d v="2024-12-11T00:00:00"/>
    <x:x v="0"/>
    <x:d v="2025-04-19T00:00:00"/>
    <x:s v="Price Too High"/>
    <x:n v="0"/>
    <x:n v="6"/>
    <x:n v="28"/>
    <x:s v="No"/>
  </x:r>
  <x:r>
    <x:x v="161"/>
    <x:x v="1"/>
    <x:s v="Monthly"/>
    <x:s v="Finance"/>
    <x:s v="500+"/>
    <x:n v="150"/>
    <x:n v="677.15"/>
    <x:s v="Paid Ads"/>
    <x:s v="Europe"/>
    <x:d v="2022-08-09T00:00:00"/>
    <x:x v="0"/>
    <x:d v="2023-11-26T00:00:00"/>
    <x:s v="Budget Cuts"/>
    <x:n v="0"/>
    <x:n v="3"/>
    <x:n v="44"/>
    <x:s v="No"/>
  </x:r>
  <x:r>
    <x:x v="162"/>
    <x:x v="1"/>
    <x:s v="Annual"/>
    <x:s v="Manufacturing"/>
    <x:s v="1-10"/>
    <x:n v="2"/>
    <x:n v="28.35"/>
    <x:s v="Paid Ads"/>
    <x:s v="Asia Pacific"/>
    <x:d v="2025-01-28T00:00:00"/>
    <x:x v="1"/>
    <x:m/>
    <x:s v=""/>
    <x:n v="3"/>
    <x:n v="8"/>
    <x:n v="20"/>
    <x:s v="No"/>
  </x:r>
  <x:r>
    <x:x v="163"/>
    <x:x v="1"/>
    <x:s v="Annual"/>
    <x:s v="Healthcare"/>
    <x:s v="500+"/>
    <x:n v="220"/>
    <x:n v="834.4"/>
    <x:s v="Organic Search"/>
    <x:s v="Europe"/>
    <x:d v="2023-08-19T00:00:00"/>
    <x:x v="0"/>
    <x:d v="2025-06-11T00:00:00"/>
    <x:s v="Switched Competitor"/>
    <x:n v="4"/>
    <x:n v="3"/>
    <x:n v="12"/>
    <x:s v="No"/>
  </x:r>
  <x:r>
    <x:x v="164"/>
    <x:x v="1"/>
    <x:s v="Annual"/>
    <x:s v="Real Estate"/>
    <x:s v="201-500"/>
    <x:n v="34"/>
    <x:n v="146.67"/>
    <x:s v="Organic Search"/>
    <x:s v="Asia Pacific"/>
    <x:d v="2024-07-15T00:00:00"/>
    <x:x v="1"/>
    <x:m/>
    <x:s v=""/>
    <x:n v="12"/>
    <x:n v="5"/>
    <x:n v="60"/>
    <x:s v="No"/>
  </x:r>
  <x:r>
    <x:x v="165"/>
    <x:x v="1"/>
    <x:s v="Monthly"/>
    <x:s v="Healthcare"/>
    <x:s v="1-10"/>
    <x:n v="1"/>
    <x:n v="29"/>
    <x:s v="Social Media"/>
    <x:s v="Europe"/>
    <x:d v="2023-09-18T00:00:00"/>
    <x:x v="0"/>
    <x:d v="2025-01-25T00:00:00"/>
    <x:s v="No Longer Needed"/>
    <x:n v="7"/>
    <x:n v="5"/>
    <x:n v="20"/>
    <x:s v="No"/>
  </x:r>
  <x:r>
    <x:x v="166"/>
    <x:x v="1"/>
    <x:s v="Annual"/>
    <x:s v="Legal"/>
    <x:s v="51-200"/>
    <x:n v="40"/>
    <x:n v="168.85"/>
    <x:s v="Organic Search"/>
    <x:s v="North America"/>
    <x:d v="2024-12-24T00:00:00"/>
    <x:x v="1"/>
    <x:m/>
    <x:s v=""/>
    <x:n v="10"/>
    <x:n v="6"/>
    <x:n v="35"/>
    <x:s v="No"/>
  </x:r>
  <x:r>
    <x:x v="167"/>
    <x:x v="2"/>
    <x:s v="Monthly"/>
    <x:s v="Legal"/>
    <x:s v="11-50"/>
    <x:n v="29"/>
    <x:n v="1034.8"/>
    <x:s v="Partner"/>
    <x:s v="Europe"/>
    <x:d v="2023-04-05T00:00:00"/>
    <x:x v="0"/>
    <x:d v="2023-04-29T00:00:00"/>
    <x:s v="No Longer Needed"/>
    <x:n v="12"/>
    <x:n v="6"/>
    <x:n v="45"/>
    <x:s v="No"/>
  </x:r>
  <x:r>
    <x:x v="168"/>
    <x:x v="2"/>
    <x:s v="Annual"/>
    <x:s v="Consulting"/>
    <x:s v="11-50"/>
    <x:n v="5"/>
    <x:n v="270.64"/>
    <x:s v="Paid Ads"/>
    <x:s v="North America"/>
    <x:d v="2023-12-06T00:00:00"/>
    <x:x v="1"/>
    <x:m/>
    <x:s v=""/>
    <x:n v="0"/>
    <x:n v="1"/>
    <x:n v="55"/>
    <x:s v="Yes"/>
  </x:r>
  <x:r>
    <x:x v="169"/>
    <x:x v="2"/>
    <x:s v="Monthly"/>
    <x:s v="Media"/>
    <x:s v="11-50"/>
    <x:n v="32"/>
    <x:n v="1124.35"/>
    <x:s v="Social Media"/>
    <x:s v="Asia Pacific"/>
    <x:d v="2024-10-17T00:00:00"/>
    <x:x v="1"/>
    <x:m/>
    <x:s v=""/>
    <x:n v="1"/>
    <x:n v="1"/>
    <x:n v="91"/>
    <x:s v="No"/>
  </x:r>
  <x:r>
    <x:x v="170"/>
    <x:x v="1"/>
    <x:s v="Monthly"/>
    <x:s v="Finance"/>
    <x:s v="1-10"/>
    <x:n v="7"/>
    <x:n v="55.1"/>
    <x:s v="Organic Search"/>
    <x:s v="Europe"/>
    <x:d v="2022-09-18T00:00:00"/>
    <x:x v="0"/>
    <x:d v="2023-07-31T00:00:00"/>
    <x:s v="Budget Cuts"/>
    <x:n v="3"/>
    <x:n v="2"/>
    <x:n v="24"/>
    <x:s v="No"/>
  </x:r>
  <x:r>
    <x:x v="171"/>
    <x:x v="2"/>
    <x:s v="Monthly"/>
    <x:s v="Healthcare"/>
    <x:s v="1-10"/>
    <x:n v="5"/>
    <x:n v="318.4"/>
    <x:s v="Referral"/>
    <x:s v="North America"/>
    <x:d v="2022-07-10T00:00:00"/>
    <x:x v="0"/>
    <x:d v="2024-05-08T00:00:00"/>
    <x:s v="No Longer Needed"/>
    <x:n v="14"/>
    <x:n v="3"/>
    <x:n v="38"/>
    <x:s v="No"/>
  </x:r>
  <x:r>
    <x:x v="172"/>
    <x:x v="0"/>
    <x:s v="Annual"/>
    <x:s v="Media"/>
    <x:s v="1-10"/>
    <x:n v="6"/>
    <x:n v="117.51"/>
    <x:s v="Social Media"/>
    <x:s v="Asia Pacific"/>
    <x:d v="2024-09-14T00:00:00"/>
    <x:x v="1"/>
    <x:m/>
    <x:s v=""/>
    <x:n v="12"/>
    <x:n v="9"/>
    <x:n v="38"/>
    <x:s v="No"/>
  </x:r>
  <x:r>
    <x:x v="173"/>
    <x:x v="3"/>
    <x:s v="Annual"/>
    <x:s v="Education"/>
    <x:s v="201-500"/>
    <x:n v="65"/>
    <x:n v="4495.99"/>
    <x:s v="Paid Ads"/>
    <x:s v="North America"/>
    <x:d v="2024-11-30T00:00:00"/>
    <x:x v="1"/>
    <x:m/>
    <x:s v=""/>
    <x:n v="10"/>
    <x:n v="2"/>
    <x:n v="91"/>
    <x:s v="No"/>
  </x:r>
  <x:r>
    <x:x v="174"/>
    <x:x v="2"/>
    <x:s v="Annual"/>
    <x:s v="Consulting"/>
    <x:s v="51-200"/>
    <x:n v="50"/>
    <x:n v="1412.4"/>
    <x:s v="Direct Sales"/>
    <x:s v="North America"/>
    <x:d v="2022-10-11T00:00:00"/>
    <x:x v="1"/>
    <x:m/>
    <x:s v=""/>
    <x:n v="12"/>
    <x:n v="8"/>
    <x:n v="26"/>
    <x:s v="No"/>
  </x:r>
  <x:r>
    <x:x v="175"/>
    <x:x v="1"/>
    <x:s v="Monthly"/>
    <x:s v="Media"/>
    <x:s v="500+"/>
    <x:n v="205"/>
    <x:n v="916.4"/>
    <x:s v="Social Media"/>
    <x:s v="North America"/>
    <x:d v="2023-08-06T00:00:00"/>
    <x:x v="0"/>
    <x:d v="2023-09-11T00:00:00"/>
    <x:s v="Budget Cuts"/>
    <x:n v="7"/>
    <x:n v="3"/>
    <x:n v="19"/>
    <x:s v="No"/>
  </x:r>
  <x:r>
    <x:x v="176"/>
    <x:x v="0"/>
    <x:s v="Monthly"/>
    <x:s v="Technology"/>
    <x:s v="500+"/>
    <x:n v="239"/>
    <x:n v="2899.3"/>
    <x:s v="Partner"/>
    <x:s v="Asia Pacific"/>
    <x:d v="2024-12-06T00:00:00"/>
    <x:x v="0"/>
    <x:d v="2025-11-09T00:00:00"/>
    <x:s v="Poor Support"/>
    <x:n v="4"/>
    <x:n v="6"/>
    <x:n v="14"/>
    <x:s v="No"/>
  </x:r>
  <x:r>
    <x:x v="177"/>
    <x:x v="0"/>
    <x:s v="Annual"/>
    <x:s v="Manufacturing"/>
    <x:s v="11-50"/>
    <x:n v="31"/>
    <x:n v="369.33"/>
    <x:s v="Direct Sales"/>
    <x:s v="Asia Pacific"/>
    <x:d v="2024-09-11T00:00:00"/>
    <x:x v="1"/>
    <x:m/>
    <x:s v=""/>
    <x:n v="4"/>
    <x:n v="6"/>
    <x:n v="81"/>
    <x:s v="No"/>
  </x:r>
  <x:r>
    <x:x v="178"/>
    <x:x v="1"/>
    <x:s v="Monthly"/>
    <x:s v="Consulting"/>
    <x:s v="51-200"/>
    <x:n v="67"/>
    <x:n v="316.1"/>
    <x:s v="Referral"/>
    <x:s v="Europe"/>
    <x:d v="2024-06-25T00:00:00"/>
    <x:x v="1"/>
    <x:m/>
    <x:s v=""/>
    <x:n v="3"/>
    <x:n v="10"/>
    <x:n v="26"/>
    <x:s v="No"/>
  </x:r>
  <x:r>
    <x:x v="179"/>
    <x:x v="0"/>
    <x:s v="Annual"/>
    <x:s v="Real Estate"/>
    <x:s v="51-200"/>
    <x:n v="29"/>
    <x:n v="349.18"/>
    <x:s v="Referral"/>
    <x:s v="North America"/>
    <x:d v="2022-10-12T00:00:00"/>
    <x:x v="0"/>
    <x:d v="2025-03-25T00:00:00"/>
    <x:s v="Budget Cuts"/>
    <x:n v="2"/>
    <x:n v="5"/>
    <x:n v="42"/>
    <x:s v="No"/>
  </x:r>
  <x:r>
    <x:x v="180"/>
    <x:x v="0"/>
    <x:s v="Monthly"/>
    <x:s v="Education"/>
    <x:s v="1-10"/>
    <x:n v="4"/>
    <x:n v="114.55"/>
    <x:s v="Paid Ads"/>
    <x:s v="North America"/>
    <x:d v="2024-02-08T00:00:00"/>
    <x:x v="0"/>
    <x:d v="2024-04-23T00:00:00"/>
    <x:s v="Price Too High"/>
    <x:n v="9"/>
    <x:n v="4"/>
    <x:n v="44"/>
    <x:s v="No"/>
  </x:r>
  <x:r>
    <x:x v="181"/>
    <x:x v="0"/>
    <x:s v="Annual"/>
    <x:s v="Real Estate"/>
    <x:s v="51-200"/>
    <x:n v="76"/>
    <x:n v="822.59"/>
    <x:s v="Partner"/>
    <x:s v="Europe"/>
    <x:d v="2024-05-02T00:00:00"/>
    <x:x v="1"/>
    <x:m/>
    <x:s v=""/>
    <x:n v="9"/>
    <x:n v="6"/>
    <x:n v="37"/>
    <x:s v="No"/>
  </x:r>
  <x:r>
    <x:x v="182"/>
    <x:x v="1"/>
    <x:s v="Annual"/>
    <x:s v="Education"/>
    <x:s v="201-500"/>
    <x:n v="83"/>
    <x:n v="327.84"/>
    <x:s v="Partner"/>
    <x:s v="North America"/>
    <x:d v="2023-10-01T00:00:00"/>
    <x:x v="0"/>
    <x:d v="2025-01-06T00:00:00"/>
    <x:s v="Budget Cuts"/>
    <x:n v="8"/>
    <x:n v="4"/>
    <x:n v="26"/>
    <x:s v="No"/>
  </x:r>
  <x:r>
    <x:x v="183"/>
    <x:x v="1"/>
    <x:s v="Monthly"/>
    <x:s v="Manufacturing"/>
    <x:s v="1-10"/>
    <x:n v="7"/>
    <x:n v="55.1"/>
    <x:s v="Partner"/>
    <x:s v="Europe"/>
    <x:d v="2024-11-20T00:00:00"/>
    <x:x v="1"/>
    <x:m/>
    <x:s v=""/>
    <x:n v="8"/>
    <x:n v="2"/>
    <x:n v="63"/>
    <x:s v="No"/>
  </x:r>
  <x:r>
    <x:x v="184"/>
    <x:x v="0"/>
    <x:s v="Annual"/>
    <x:s v="Media"/>
    <x:s v="201-500"/>
    <x:n v="96"/>
    <x:n v="1024.04"/>
    <x:s v="Referral"/>
    <x:s v="North America"/>
    <x:d v="2025-11-17T00:00:00"/>
    <x:x v="1"/>
    <x:m/>
    <x:s v=""/>
    <x:n v="3"/>
    <x:n v="8"/>
    <x:n v="48"/>
    <x:s v="No"/>
  </x:r>
  <x:r>
    <x:x v="185"/>
    <x:x v="2"/>
    <x:s v="Monthly"/>
    <x:s v="Finance"/>
    <x:s v="1-10"/>
    <x:n v="6"/>
    <x:n v="348.25"/>
    <x:s v="Partner"/>
    <x:s v="Asia Pacific"/>
    <x:d v="2025-06-25T00:00:00"/>
    <x:x v="0"/>
    <x:d v="2025-11-28T00:00:00"/>
    <x:s v="Budget Cuts"/>
    <x:n v="3"/>
    <x:n v="2"/>
    <x:n v="17"/>
    <x:s v="No"/>
  </x:r>
  <x:r>
    <x:x v="186"/>
    <x:x v="0"/>
    <x:s v="Monthly"/>
    <x:s v="Education"/>
    <x:s v="1-10"/>
    <x:n v="4"/>
    <x:n v="114.55"/>
    <x:s v="Paid Ads"/>
    <x:s v="Asia Pacific"/>
    <x:d v="2024-09-10T00:00:00"/>
    <x:x v="0"/>
    <x:d v="2024-11-30T00:00:00"/>
    <x:s v="Price Too High"/>
    <x:n v="9"/>
    <x:n v="3"/>
    <x:n v="24"/>
    <x:s v="No"/>
  </x:r>
  <x:r>
    <x:x v="187"/>
    <x:x v="2"/>
    <x:s v="Monthly"/>
    <x:s v="Healthcare"/>
    <x:s v="11-50"/>
    <x:n v="28"/>
    <x:n v="1004.95"/>
    <x:s v="Referral"/>
    <x:s v="Asia Pacific"/>
    <x:d v="2022-08-11T00:00:00"/>
    <x:x v="0"/>
    <x:d v="2024-12-24T00:00:00"/>
    <x:s v="Switched Competitor"/>
    <x:n v="13"/>
    <x:n v="4"/>
    <x:n v="15"/>
    <x:s v="No"/>
  </x:r>
  <x:r>
    <x:x v="188"/>
    <x:x v="1"/>
    <x:s v="Monthly"/>
    <x:s v="Consulting"/>
    <x:s v="201-500"/>
    <x:n v="141"/>
    <x:n v="638"/>
    <x:s v="Direct Sales"/>
    <x:s v="North America"/>
    <x:d v="2025-09-11T00:00:00"/>
    <x:x v="1"/>
    <x:m/>
    <x:s v=""/>
    <x:n v="11"/>
    <x:n v="4"/>
    <x:n v="88"/>
    <x:s v="No"/>
  </x:r>
  <x:r>
    <x:x v="189"/>
    <x:x v="0"/>
    <x:s v="Monthly"/>
    <x:s v="Consulting"/>
    <x:s v="51-200"/>
    <x:n v="70"/>
    <x:n v="896.65"/>
    <x:s v="Social Media"/>
    <x:s v="North America"/>
    <x:d v="2023-07-10T00:00:00"/>
    <x:x v="1"/>
    <x:m/>
    <x:s v=""/>
    <x:n v="7"/>
    <x:n v="10"/>
    <x:n v="63"/>
    <x:s v="No"/>
  </x:r>
  <x:r>
    <x:x v="190"/>
    <x:x v="1"/>
    <x:s v="Monthly"/>
    <x:s v="Media"/>
    <x:s v="11-50"/>
    <x:n v="30"/>
    <x:n v="155.15"/>
    <x:s v="Partner"/>
    <x:s v="North America"/>
    <x:d v="2022-12-21T00:00:00"/>
    <x:x v="0"/>
    <x:d v="2023-01-25T00:00:00"/>
    <x:s v="No Longer Needed"/>
    <x:n v="15"/>
    <x:n v="2"/>
    <x:n v="23"/>
    <x:s v="No"/>
  </x:r>
  <x:r>
    <x:x v="191"/>
    <x:x v="2"/>
    <x:s v="Monthly"/>
    <x:s v="Real Estate"/>
    <x:s v="51-200"/>
    <x:n v="74"/>
    <x:n v="2378.05"/>
    <x:s v="Social Media"/>
    <x:s v="North America"/>
    <x:d v="2022-03-16T00:00:00"/>
    <x:x v="1"/>
    <x:m/>
    <x:s v=""/>
    <x:n v="8"/>
    <x:n v="10"/>
    <x:n v="46"/>
    <x:s v="Yes"/>
  </x:r>
  <x:r>
    <x:x v="192"/>
    <x:x v="3"/>
    <x:s v="Monthly"/>
    <x:s v="Retail"/>
    <x:s v="11-50"/>
    <x:n v="33"/>
    <x:n v="2894.2"/>
    <x:s v="Social Media"/>
    <x:s v="North America"/>
    <x:d v="2024-09-18T00:00:00"/>
    <x:x v="1"/>
    <x:m/>
    <x:s v=""/>
    <x:n v="0"/>
    <x:n v="1"/>
    <x:n v="43"/>
    <x:s v="Yes"/>
  </x:r>
  <x:r>
    <x:x v="193"/>
    <x:x v="1"/>
    <x:s v="Annual"/>
    <x:s v="Finance"/>
    <x:s v="500+"/>
    <x:n v="225"/>
    <x:n v="852.89"/>
    <x:s v="Referral"/>
    <x:s v="Europe"/>
    <x:d v="2023-02-27T00:00:00"/>
    <x:x v="1"/>
    <x:m/>
    <x:s v=""/>
    <x:n v="6"/>
    <x:n v="9"/>
    <x:n v="50"/>
    <x:s v="Yes"/>
  </x:r>
  <x:r>
    <x:x v="194"/>
    <x:x v="1"/>
    <x:s v="Annual"/>
    <x:s v="Education"/>
    <x:s v="1-10"/>
    <x:n v="3"/>
    <x:n v="32.05"/>
    <x:s v="Paid Ads"/>
    <x:s v="North America"/>
    <x:d v="2023-10-21T00:00:00"/>
    <x:x v="0"/>
    <x:d v="2024-07-19T00:00:00"/>
    <x:s v="Budget Cuts"/>
    <x:n v="4"/>
    <x:n v="5"/>
    <x:n v="33"/>
    <x:s v="No"/>
  </x:r>
  <x:r>
    <x:x v="195"/>
    <x:x v="0"/>
    <x:s v="Annual"/>
    <x:s v="Media"/>
    <x:s v="11-50"/>
    <x:n v="20"/>
    <x:n v="258.53"/>
    <x:s v="Paid Ads"/>
    <x:s v="Europe"/>
    <x:d v="2025-03-06T00:00:00"/>
    <x:x v="1"/>
    <x:m/>
    <x:s v=""/>
    <x:n v="6"/>
    <x:n v="7"/>
    <x:n v="95"/>
    <x:s v="No"/>
  </x:r>
  <x:r>
    <x:x v="196"/>
    <x:x v="3"/>
    <x:s v="Monthly"/>
    <x:s v="Consulting"/>
    <x:s v="1-10"/>
    <x:n v="1"/>
    <x:n v="499"/>
    <x:s v="Organic Search"/>
    <x:s v="Asia Pacific"/>
    <x:d v="2022-03-25T00:00:00"/>
    <x:x v="1"/>
    <x:m/>
    <x:s v=""/>
    <x:n v="8"/>
    <x:n v="7"/>
    <x:n v="32"/>
    <x:s v="No"/>
  </x:r>
  <x:r>
    <x:x v="197"/>
    <x:x v="1"/>
    <x:s v="Monthly"/>
    <x:s v="Healthcare"/>
    <x:s v="51-200"/>
    <x:n v="21"/>
    <x:n v="116"/>
    <x:s v="Referral"/>
    <x:s v="Europe"/>
    <x:d v="2023-04-19T00:00:00"/>
    <x:x v="0"/>
    <x:d v="2025-01-15T00:00:00"/>
    <x:s v="Missing Features"/>
    <x:n v="0"/>
    <x:n v="1"/>
    <x:n v="15"/>
    <x:s v="No"/>
  </x:r>
  <x:r>
    <x:x v="198"/>
    <x:x v="0"/>
    <x:s v="Annual"/>
    <x:s v="Legal"/>
    <x:s v="1-10"/>
    <x:n v="4"/>
    <x:n v="97.37"/>
    <x:s v="Paid Ads"/>
    <x:s v="North America"/>
    <x:d v="2025-03-03T00:00:00"/>
    <x:x v="1"/>
    <x:m/>
    <x:s v=""/>
    <x:n v="2"/>
    <x:n v="4"/>
    <x:n v="36"/>
    <x:s v="No"/>
  </x:r>
  <x:r>
    <x:x v="199"/>
    <x:x v="0"/>
    <x:s v="Annual"/>
    <x:s v="Education"/>
    <x:s v="201-500"/>
    <x:n v="35"/>
    <x:n v="409.62"/>
    <x:s v="Organic Search"/>
    <x:s v="North America"/>
    <x:d v="2022-10-24T00:00:00"/>
    <x:x v="0"/>
    <x:d v="2024-11-02T00:00:00"/>
    <x:s v="Missing Features"/>
    <x:n v="15"/>
    <x:n v="1"/>
    <x:n v="21"/>
    <x:s v="No"/>
  </x:r>
  <x:r>
    <x:x v="200"/>
    <x:x v="1"/>
    <x:s v="Monthly"/>
    <x:s v="Media"/>
    <x:s v="11-50"/>
    <x:n v="13"/>
    <x:n v="81.2"/>
    <x:s v="Partner"/>
    <x:s v="Europe"/>
    <x:d v="2023-06-28T00:00:00"/>
    <x:x v="0"/>
    <x:d v="2024-10-13T00:00:00"/>
    <x:s v="Budget Cuts"/>
    <x:n v="15"/>
    <x:n v="1"/>
    <x:n v="44"/>
    <x:s v="No"/>
  </x:r>
  <x:r>
    <x:x v="201"/>
    <x:x v="1"/>
    <x:s v="Monthly"/>
    <x:s v="Legal"/>
    <x:s v="11-50"/>
    <x:n v="30"/>
    <x:n v="155.15"/>
    <x:s v="Partner"/>
    <x:s v="Latin America"/>
    <x:d v="2023-10-06T00:00:00"/>
    <x:x v="0"/>
    <x:d v="2023-11-04T00:00:00"/>
    <x:s v="Price Too High"/>
    <x:n v="3"/>
    <x:n v="1"/>
    <x:n v="25"/>
    <x:s v="No"/>
  </x:r>
  <x:r>
    <x:x v="202"/>
    <x:x v="2"/>
    <x:s v="Monthly"/>
    <x:s v="Consulting"/>
    <x:s v="1-10"/>
    <x:n v="8"/>
    <x:n v="407.95"/>
    <x:s v="Direct Sales"/>
    <x:s v="Latin America"/>
    <x:d v="2023-07-30T00:00:00"/>
    <x:x v="0"/>
    <x:d v="2025-04-06T00:00:00"/>
    <x:s v="Budget Cuts"/>
    <x:n v="1"/>
    <x:n v="5"/>
    <x:n v="12"/>
    <x:s v="No"/>
  </x:r>
  <x:r>
    <x:x v="203"/>
    <x:x v="1"/>
    <x:s v="Monthly"/>
    <x:s v="Education"/>
    <x:s v="51-200"/>
    <x:n v="64"/>
    <x:n v="303.05"/>
    <x:s v="Partner"/>
    <x:s v="North America"/>
    <x:d v="2024-05-19T00:00:00"/>
    <x:x v="0"/>
    <x:d v="2024-07-20T00:00:00"/>
    <x:s v="Poor Support"/>
    <x:n v="11"/>
    <x:n v="1"/>
    <x:n v="49"/>
    <x:s v="No"/>
  </x:r>
  <x:r>
    <x:x v="204"/>
    <x:x v="2"/>
    <x:s v="Annual"/>
    <x:s v="Healthcare"/>
    <x:s v="51-200"/>
    <x:n v="67"/>
    <x:n v="1843.73"/>
    <x:s v="Organic Search"/>
    <x:s v="Europe"/>
    <x:d v="2023-12-17T00:00:00"/>
    <x:x v="1"/>
    <x:m/>
    <x:s v=""/>
    <x:n v="12"/>
    <x:n v="1"/>
    <x:n v="85"/>
    <x:s v="Yes"/>
  </x:r>
  <x:r>
    <x:x v="205"/>
    <x:x v="1"/>
    <x:s v="Monthly"/>
    <x:s v="Healthcare"/>
    <x:s v="201-500"/>
    <x:n v="72"/>
    <x:n v="337.85"/>
    <x:s v="Organic Search"/>
    <x:s v="Europe"/>
    <x:d v="2024-03-23T00:00:00"/>
    <x:x v="0"/>
    <x:d v="2024-07-02T00:00:00"/>
    <x:s v="Switched Competitor"/>
    <x:n v="5"/>
    <x:n v="6"/>
    <x:n v="33"/>
    <x:s v="No"/>
  </x:r>
  <x:r>
    <x:x v="206"/>
    <x:x v="2"/>
    <x:s v="Monthly"/>
    <x:s v="Real Estate"/>
    <x:s v="1-10"/>
    <x:n v="1"/>
    <x:n v="199"/>
    <x:s v="Partner"/>
    <x:s v="North America"/>
    <x:d v="2023-04-02T00:00:00"/>
    <x:x v="0"/>
    <x:d v="2023-12-15T00:00:00"/>
    <x:s v="No Longer Needed"/>
    <x:n v="12"/>
    <x:n v="2"/>
    <x:n v="16"/>
    <x:s v="No"/>
  </x:r>
  <x:r>
    <x:x v="207"/>
    <x:x v="1"/>
    <x:s v="Monthly"/>
    <x:s v="Consulting"/>
    <x:s v="11-50"/>
    <x:n v="5"/>
    <x:n v="46.4"/>
    <x:s v="Referral"/>
    <x:s v="North America"/>
    <x:d v="2025-01-19T00:00:00"/>
    <x:x v="0"/>
    <x:d v="2025-07-03T00:00:00"/>
    <x:s v="Missing Features"/>
    <x:n v="8"/>
    <x:n v="4"/>
    <x:n v="21"/>
    <x:s v="No"/>
  </x:r>
  <x:r>
    <x:x v="208"/>
    <x:x v="1"/>
    <x:s v="Annual"/>
    <x:s v="Healthcare"/>
    <x:s v="51-200"/>
    <x:n v="46"/>
    <x:n v="191.04"/>
    <x:s v="Social Media"/>
    <x:s v="Europe"/>
    <x:d v="2022-05-05T00:00:00"/>
    <x:x v="0"/>
    <x:d v="2022-07-30T00:00:00"/>
    <x:s v="Company Closed"/>
    <x:n v="2"/>
    <x:n v="1"/>
    <x:n v="13"/>
    <x:s v="No"/>
  </x:r>
  <x:r>
    <x:x v="209"/>
    <x:x v="3"/>
    <x:s v="Monthly"/>
    <x:s v="Healthcare"/>
    <x:s v="51-200"/>
    <x:n v="72"/>
    <x:n v="5813.35"/>
    <x:s v="Social Media"/>
    <x:s v="North America"/>
    <x:d v="2022-09-22T00:00:00"/>
    <x:x v="0"/>
    <x:d v="2025-05-26T00:00:00"/>
    <x:s v="Price Too High"/>
    <x:n v="13"/>
    <x:n v="1"/>
    <x:n v="17"/>
    <x:s v="No"/>
  </x:r>
  <x:r>
    <x:x v="210"/>
    <x:x v="3"/>
    <x:s v="Annual"/>
    <x:s v="Education"/>
    <x:s v="201-500"/>
    <x:n v="48"/>
    <x:n v="3414.41"/>
    <x:s v="Paid Ads"/>
    <x:s v="North America"/>
    <x:d v="2025-06-30T00:00:00"/>
    <x:x v="1"/>
    <x:m/>
    <x:s v=""/>
    <x:n v="12"/>
    <x:n v="2"/>
    <x:n v="23"/>
    <x:s v="No"/>
  </x:r>
  <x:r>
    <x:x v="211"/>
    <x:x v="2"/>
    <x:s v="Annual"/>
    <x:s v="Retail"/>
    <x:s v="1-10"/>
    <x:n v="1"/>
    <x:n v="169.15"/>
    <x:s v="Partner"/>
    <x:s v="North America"/>
    <x:d v="2024-01-08T00:00:00"/>
    <x:x v="1"/>
    <x:m/>
    <x:s v=""/>
    <x:n v="1"/>
    <x:n v="6"/>
    <x:n v="60"/>
    <x:s v="No"/>
  </x:r>
  <x:r>
    <x:x v="212"/>
    <x:x v="2"/>
    <x:s v="Annual"/>
    <x:s v="Manufacturing"/>
    <x:s v="500+"/>
    <x:n v="209"/>
    <x:n v="5446.63"/>
    <x:s v="Partner"/>
    <x:s v="North America"/>
    <x:d v="2023-05-20T00:00:00"/>
    <x:x v="1"/>
    <x:m/>
    <x:s v=""/>
    <x:n v="4"/>
    <x:n v="2"/>
    <x:n v="31"/>
    <x:s v="No"/>
  </x:r>
  <x:r>
    <x:x v="213"/>
    <x:x v="1"/>
    <x:s v="Monthly"/>
    <x:s v="Legal"/>
    <x:s v="11-50"/>
    <x:n v="17"/>
    <x:n v="98.6"/>
    <x:s v="Referral"/>
    <x:s v="North America"/>
    <x:d v="2024-09-23T00:00:00"/>
    <x:x v="0"/>
    <x:d v="2025-08-11T00:00:00"/>
    <x:s v="No Longer Needed"/>
    <x:n v="4"/>
    <x:n v="4"/>
    <x:n v="10"/>
    <x:s v="No"/>
  </x:r>
  <x:r>
    <x:x v="214"/>
    <x:x v="1"/>
    <x:s v="Monthly"/>
    <x:s v="Consulting"/>
    <x:s v="11-50"/>
    <x:n v="21"/>
    <x:n v="116"/>
    <x:s v="Direct Sales"/>
    <x:s v="Asia Pacific"/>
    <x:d v="2025-01-09T00:00:00"/>
    <x:x v="0"/>
    <x:d v="2025-06-29T00:00:00"/>
    <x:s v="Switched Competitor"/>
    <x:n v="15"/>
    <x:n v="5"/>
    <x:n v="27"/>
    <x:s v="No"/>
  </x:r>
  <x:r>
    <x:x v="215"/>
    <x:x v="1"/>
    <x:s v="Monthly"/>
    <x:s v="Finance"/>
    <x:s v="11-50"/>
    <x:n v="15"/>
    <x:n v="89.9"/>
    <x:s v="Organic Search"/>
    <x:s v="North America"/>
    <x:d v="2024-07-20T00:00:00"/>
    <x:x v="0"/>
    <x:d v="2024-09-16T00:00:00"/>
    <x:s v="Poor Support"/>
    <x:n v="11"/>
    <x:n v="4"/>
    <x:n v="20"/>
    <x:s v="No"/>
  </x:r>
  <x:r>
    <x:x v="216"/>
    <x:x v="0"/>
    <x:s v="Monthly"/>
    <x:s v="Healthcare"/>
    <x:s v="51-200"/>
    <x:n v="46"/>
    <x:n v="612.25"/>
    <x:s v="Partner"/>
    <x:s v="North America"/>
    <x:d v="2024-04-05T00:00:00"/>
    <x:x v="1"/>
    <x:m/>
    <x:s v=""/>
    <x:n v="3"/>
    <x:n v="7"/>
    <x:n v="39"/>
    <x:s v="No"/>
  </x:r>
  <x:r>
    <x:x v="217"/>
    <x:x v="1"/>
    <x:s v="Monthly"/>
    <x:s v="Finance"/>
    <x:s v="51-200"/>
    <x:n v="22"/>
    <x:n v="120.35"/>
    <x:s v="Direct Sales"/>
    <x:s v="North America"/>
    <x:d v="2022-10-15T00:00:00"/>
    <x:x v="0"/>
    <x:d v="2024-01-25T00:00:00"/>
    <x:s v="Company Closed"/>
    <x:n v="3"/>
    <x:n v="3"/>
    <x:n v="27"/>
    <x:s v="No"/>
  </x:r>
  <x:r>
    <x:x v="218"/>
    <x:x v="1"/>
    <x:s v="Annual"/>
    <x:s v="Manufacturing"/>
    <x:s v="1-10"/>
    <x:n v="8"/>
    <x:n v="50.53"/>
    <x:s v="Organic Search"/>
    <x:s v="North America"/>
    <x:d v="2023-08-22T00:00:00"/>
    <x:x v="1"/>
    <x:m/>
    <x:s v=""/>
    <x:n v="6"/>
    <x:n v="8"/>
    <x:n v="32"/>
    <x:s v="No"/>
  </x:r>
  <x:r>
    <x:x v="219"/>
    <x:x v="0"/>
    <x:s v="Monthly"/>
    <x:s v="Education"/>
    <x:s v="1-10"/>
    <x:n v="1"/>
    <x:n v="79"/>
    <x:s v="Social Media"/>
    <x:s v="North America"/>
    <x:d v="2023-09-26T00:00:00"/>
    <x:x v="0"/>
    <x:d v="2025-05-11T00:00:00"/>
    <x:s v="Price Too High"/>
    <x:n v="9"/>
    <x:n v="5"/>
    <x:n v="44"/>
    <x:s v="No"/>
  </x:r>
  <x:r>
    <x:x v="220"/>
    <x:x v="2"/>
    <x:s v="Annual"/>
    <x:s v="Real Estate"/>
    <x:s v="1-10"/>
    <x:n v="3"/>
    <x:n v="219.9"/>
    <x:s v="Organic Search"/>
    <x:s v="North America"/>
    <x:d v="2025-06-28T00:00:00"/>
    <x:x v="1"/>
    <x:m/>
    <x:s v=""/>
    <x:n v="7"/>
    <x:n v="8"/>
    <x:n v="43"/>
    <x:s v="No"/>
  </x:r>
  <x:r>
    <x:x v="221"/>
    <x:x v="0"/>
    <x:s v="Monthly"/>
    <x:s v="Media"/>
    <x:s v="51-200"/>
    <x:n v="47"/>
    <x:n v="624.1"/>
    <x:s v="Referral"/>
    <x:s v="Europe"/>
    <x:d v="2024-10-03T00:00:00"/>
    <x:x v="1"/>
    <x:m/>
    <x:s v=""/>
    <x:n v="6"/>
    <x:n v="8"/>
    <x:n v="63"/>
    <x:s v="Yes"/>
  </x:r>
  <x:r>
    <x:x v="222"/>
    <x:x v="1"/>
    <x:s v="Monthly"/>
    <x:s v="Manufacturing"/>
    <x:s v="201-500"/>
    <x:n v="68"/>
    <x:n v="320.45"/>
    <x:s v="Paid Ads"/>
    <x:s v="North America"/>
    <x:d v="2025-04-01T00:00:00"/>
    <x:x v="0"/>
    <x:d v="2025-10-19T00:00:00"/>
    <x:s v="Switched Competitor"/>
    <x:n v="9"/>
    <x:n v="4"/>
    <x:n v="42"/>
    <x:s v="No"/>
  </x:r>
  <x:r>
    <x:x v="223"/>
    <x:x v="3"/>
    <x:s v="Annual"/>
    <x:s v="Healthcare"/>
    <x:s v="51-200"/>
    <x:n v="72"/>
    <x:n v="4941.35"/>
    <x:s v="Social Media"/>
    <x:s v="Latin America"/>
    <x:d v="2025-02-01T00:00:00"/>
    <x:x v="0"/>
    <x:d v="2025-02-13T00:00:00"/>
    <x:s v="Missing Features"/>
    <x:n v="0"/>
    <x:n v="1"/>
    <x:n v="11"/>
    <x:s v="No"/>
  </x:r>
  <x:r>
    <x:x v="224"/>
    <x:x v="0"/>
    <x:s v="Annual"/>
    <x:s v="Consulting"/>
    <x:s v="11-50"/>
    <x:n v="27"/>
    <x:n v="329.03"/>
    <x:s v="Organic Search"/>
    <x:s v="North America"/>
    <x:d v="2025-11-17T00:00:00"/>
    <x:x v="1"/>
    <x:m/>
    <x:s v=""/>
    <x:n v="7"/>
    <x:n v="4"/>
    <x:n v="39"/>
    <x:s v="No"/>
  </x:r>
  <x:r>
    <x:x v="225"/>
    <x:x v="0"/>
    <x:s v="Monthly"/>
    <x:s v="Retail"/>
    <x:s v="51-200"/>
    <x:n v="64"/>
    <x:n v="825.55"/>
    <x:s v="Organic Search"/>
    <x:s v="Europe"/>
    <x:d v="2025-04-18T00:00:00"/>
    <x:x v="1"/>
    <x:m/>
    <x:s v=""/>
    <x:n v="10"/>
    <x:n v="4"/>
    <x:n v="87"/>
    <x:s v="No"/>
  </x:r>
  <x:r>
    <x:x v="226"/>
    <x:x v="1"/>
    <x:s v="Monthly"/>
    <x:s v="Retail"/>
    <x:s v="1-10"/>
    <x:n v="6"/>
    <x:n v="50.75"/>
    <x:s v="Referral"/>
    <x:s v="Europe"/>
    <x:d v="2024-09-10T00:00:00"/>
    <x:x v="0"/>
    <x:d v="2024-10-27T00:00:00"/>
    <x:s v="Missing Features"/>
    <x:n v="5"/>
    <x:n v="3"/>
    <x:n v="39"/>
    <x:s v="No"/>
  </x:r>
  <x:r>
    <x:x v="227"/>
    <x:x v="1"/>
    <x:s v="Annual"/>
    <x:s v="Consulting"/>
    <x:s v="11-50"/>
    <x:n v="10"/>
    <x:n v="57.93"/>
    <x:s v="Organic Search"/>
    <x:s v="Europe"/>
    <x:d v="2024-01-12T00:00:00"/>
    <x:x v="1"/>
    <x:m/>
    <x:s v=""/>
    <x:n v="8"/>
    <x:n v="6"/>
    <x:n v="46"/>
    <x:s v="Yes"/>
  </x:r>
  <x:r>
    <x:x v="228"/>
    <x:x v="3"/>
    <x:s v="Monthly"/>
    <x:s v="Manufacturing"/>
    <x:s v="201-500"/>
    <x:n v="118"/>
    <x:n v="9256.45"/>
    <x:s v="Organic Search"/>
    <x:s v="Europe"/>
    <x:d v="2024-04-06T00:00:00"/>
    <x:x v="1"/>
    <x:m/>
    <x:s v=""/>
    <x:n v="0"/>
    <x:n v="10"/>
    <x:n v="85"/>
    <x:s v="No"/>
  </x:r>
  <x:r>
    <x:x v="229"/>
    <x:x v="1"/>
    <x:s v="Monthly"/>
    <x:s v="Finance"/>
    <x:s v="11-50"/>
    <x:n v="24"/>
    <x:n v="129.05"/>
    <x:s v="Referral"/>
    <x:s v="North America"/>
    <x:d v="2023-06-10T00:00:00"/>
    <x:x v="0"/>
    <x:d v="2023-10-22T00:00:00"/>
    <x:s v="Switched Competitor"/>
    <x:n v="13"/>
    <x:n v="1"/>
    <x:n v="31"/>
    <x:s v="No"/>
  </x:r>
  <x:r>
    <x:x v="230"/>
    <x:x v="1"/>
    <x:s v="Monthly"/>
    <x:s v="Education"/>
    <x:s v="51-200"/>
    <x:n v="33"/>
    <x:n v="168.2"/>
    <x:s v="Direct Sales"/>
    <x:s v="North America"/>
    <x:d v="2023-11-16T00:00:00"/>
    <x:x v="1"/>
    <x:m/>
    <x:s v=""/>
    <x:n v="4"/>
    <x:n v="9"/>
    <x:n v="52"/>
    <x:s v="No"/>
  </x:r>
  <x:r>
    <x:x v="231"/>
    <x:x v="0"/>
    <x:s v="Monthly"/>
    <x:s v="Retail"/>
    <x:s v="51-200"/>
    <x:n v="44"/>
    <x:n v="588.55"/>
    <x:s v="Organic Search"/>
    <x:s v="Europe"/>
    <x:d v="2025-06-09T00:00:00"/>
    <x:x v="1"/>
    <x:m/>
    <x:s v=""/>
    <x:n v="9"/>
    <x:n v="5"/>
    <x:n v="71"/>
    <x:s v="No"/>
  </x:r>
  <x:r>
    <x:x v="232"/>
    <x:x v="0"/>
    <x:s v="Monthly"/>
    <x:s v="Real Estate"/>
    <x:s v="201-500"/>
    <x:n v="112"/>
    <x:n v="1394.35"/>
    <x:s v="Partner"/>
    <x:s v="North America"/>
    <x:d v="2025-02-07T00:00:00"/>
    <x:x v="1"/>
    <x:m/>
    <x:s v=""/>
    <x:n v="0"/>
    <x:n v="8"/>
    <x:n v="17"/>
    <x:s v="No"/>
  </x:r>
  <x:r>
    <x:x v="233"/>
    <x:x v="2"/>
    <x:s v="Monthly"/>
    <x:s v="Consulting"/>
    <x:s v="51-200"/>
    <x:n v="55"/>
    <x:n v="1810.9"/>
    <x:s v="Paid Ads"/>
    <x:s v="North America"/>
    <x:d v="2024-04-03T00:00:00"/>
    <x:x v="0"/>
    <x:d v="2024-12-04T00:00:00"/>
    <x:s v="Poor Support"/>
    <x:n v="2"/>
    <x:n v="2"/>
    <x:n v="15"/>
    <x:s v="No"/>
  </x:r>
  <x:r>
    <x:x v="234"/>
    <x:x v="2"/>
    <x:s v="Annual"/>
    <x:s v="Consulting"/>
    <x:s v="11-50"/>
    <x:n v="15"/>
    <x:n v="524.37"/>
    <x:s v="Paid Ads"/>
    <x:s v="North America"/>
    <x:d v="2024-05-09T00:00:00"/>
    <x:x v="1"/>
    <x:m/>
    <x:s v=""/>
    <x:n v="6"/>
    <x:n v="9"/>
    <x:n v="23"/>
    <x:s v="Yes"/>
  </x:r>
  <x:r>
    <x:x v="235"/>
    <x:x v="1"/>
    <x:s v="Monthly"/>
    <x:s v="Media"/>
    <x:s v="201-500"/>
    <x:n v="45"/>
    <x:n v="220.4"/>
    <x:s v="Paid Ads"/>
    <x:s v="Europe"/>
    <x:d v="2023-07-10T00:00:00"/>
    <x:x v="0"/>
    <x:d v="2023-07-12T00:00:00"/>
    <x:s v="Company Closed"/>
    <x:n v="7"/>
    <x:n v="3"/>
    <x:n v="49"/>
    <x:s v="No"/>
  </x:r>
  <x:r>
    <x:x v="236"/>
    <x:x v="0"/>
    <x:s v="Monthly"/>
    <x:s v="Consulting"/>
    <x:s v="500+"/>
    <x:n v="109"/>
    <x:n v="1358.8"/>
    <x:s v="Direct Sales"/>
    <x:s v="Europe"/>
    <x:d v="2022-08-15T00:00:00"/>
    <x:x v="1"/>
    <x:m/>
    <x:s v=""/>
    <x:n v="0"/>
    <x:n v="3"/>
    <x:n v="30"/>
    <x:s v="No"/>
  </x:r>
  <x:r>
    <x:x v="237"/>
    <x:x v="2"/>
    <x:s v="Monthly"/>
    <x:s v="Real Estate"/>
    <x:s v="51-200"/>
    <x:n v="29"/>
    <x:n v="1034.8"/>
    <x:s v="Referral"/>
    <x:s v="North America"/>
    <x:d v="2023-04-29T00:00:00"/>
    <x:x v="1"/>
    <x:m/>
    <x:s v=""/>
    <x:n v="12"/>
    <x:n v="1"/>
    <x:n v="86"/>
    <x:s v="No"/>
  </x:r>
  <x:r>
    <x:x v="238"/>
    <x:x v="2"/>
    <x:s v="Monthly"/>
    <x:s v="Media"/>
    <x:s v="11-50"/>
    <x:n v="34"/>
    <x:n v="1184.05"/>
    <x:s v="Partner"/>
    <x:s v="Latin America"/>
    <x:d v="2022-04-16T00:00:00"/>
    <x:x v="0"/>
    <x:d v="2023-07-02T00:00:00"/>
    <x:s v="Missing Features"/>
    <x:n v="8"/>
    <x:n v="3"/>
    <x:n v="24"/>
    <x:s v="No"/>
  </x:r>
  <x:r>
    <x:x v="239"/>
    <x:x v="1"/>
    <x:s v="Annual"/>
    <x:s v="Legal"/>
    <x:s v="1-10"/>
    <x:n v="4"/>
    <x:n v="35.74"/>
    <x:s v="Social Media"/>
    <x:s v="Asia Pacific"/>
    <x:d v="2025-02-15T00:00:00"/>
    <x:x v="1"/>
    <x:m/>
    <x:s v=""/>
    <x:n v="6"/>
    <x:n v="2"/>
    <x:n v="23"/>
    <x:s v="No"/>
  </x:r>
  <x:r>
    <x:x v="240"/>
    <x:x v="1"/>
    <x:s v="Monthly"/>
    <x:s v="Technology"/>
    <x:s v="51-200"/>
    <x:n v="66"/>
    <x:n v="311.75"/>
    <x:s v="Referral"/>
    <x:s v="Asia Pacific"/>
    <x:d v="2023-09-09T00:00:00"/>
    <x:x v="0"/>
    <x:d v="2023-10-29T00:00:00"/>
    <x:s v="Budget Cuts"/>
    <x:n v="1"/>
    <x:n v="4"/>
    <x:n v="15"/>
    <x:s v="No"/>
  </x:r>
  <x:r>
    <x:x v="241"/>
    <x:x v="2"/>
    <x:s v="Annual"/>
    <x:s v="Manufacturing"/>
    <x:s v="11-50"/>
    <x:n v="10"/>
    <x:n v="397.5"/>
    <x:s v="Paid Ads"/>
    <x:s v="Asia Pacific"/>
    <x:d v="2023-11-02T00:00:00"/>
    <x:x v="1"/>
    <x:m/>
    <x:s v=""/>
    <x:n v="1"/>
    <x:n v="8"/>
    <x:n v="38"/>
    <x:s v="No"/>
  </x:r>
  <x:r>
    <x:x v="242"/>
    <x:x v="3"/>
    <x:s v="Monthly"/>
    <x:s v="Retail"/>
    <x:s v="201-500"/>
    <x:n v="122"/>
    <x:n v="9555.85"/>
    <x:s v="Organic Search"/>
    <x:s v="North America"/>
    <x:d v="2024-10-07T00:00:00"/>
    <x:x v="1"/>
    <x:m/>
    <x:s v=""/>
    <x:n v="4"/>
    <x:n v="7"/>
    <x:n v="94"/>
    <x:s v="Yes"/>
  </x:r>
  <x:r>
    <x:x v="243"/>
    <x:x v="1"/>
    <x:s v="Monthly"/>
    <x:s v="Technology"/>
    <x:s v="51-200"/>
    <x:n v="23"/>
    <x:n v="124.7"/>
    <x:s v="Paid Ads"/>
    <x:s v="Europe"/>
    <x:d v="2025-04-21T00:00:00"/>
    <x:x v="0"/>
    <x:d v="2025-05-07T00:00:00"/>
    <x:s v="Poor Support"/>
    <x:n v="7"/>
    <x:n v="6"/>
    <x:n v="18"/>
    <x:s v="No"/>
  </x:r>
  <x:r>
    <x:x v="244"/>
    <x:x v="2"/>
    <x:s v="Annual"/>
    <x:s v="Manufacturing"/>
    <x:s v="1-10"/>
    <x:n v="1"/>
    <x:n v="169.15"/>
    <x:s v="Organic Search"/>
    <x:s v="North America"/>
    <x:d v="2025-11-28T00:00:00"/>
    <x:x v="1"/>
    <x:m/>
    <x:s v=""/>
    <x:n v="5"/>
    <x:n v="3"/>
    <x:n v="39"/>
    <x:s v="No"/>
  </x:r>
  <x:r>
    <x:x v="245"/>
    <x:x v="0"/>
    <x:s v="Monthly"/>
    <x:s v="Consulting"/>
    <x:s v="1-10"/>
    <x:n v="6"/>
    <x:n v="138.25"/>
    <x:s v="Referral"/>
    <x:s v="Europe"/>
    <x:d v="2024-04-15T00:00:00"/>
    <x:x v="0"/>
    <x:d v="2024-06-23T00:00:00"/>
    <x:s v="Missing Features"/>
    <x:n v="5"/>
    <x:n v="4"/>
    <x:n v="14"/>
    <x:s v="No"/>
  </x:r>
  <x:r>
    <x:x v="246"/>
    <x:x v="2"/>
    <x:s v="Annual"/>
    <x:s v="Media"/>
    <x:s v="500+"/>
    <x:n v="251"/>
    <x:n v="6512.27"/>
    <x:s v="Social Media"/>
    <x:s v="Latin America"/>
    <x:d v="2025-11-07T00:00:00"/>
    <x:x v="1"/>
    <x:m/>
    <x:s v=""/>
    <x:n v="10"/>
    <x:n v="6"/>
    <x:n v="38"/>
    <x:s v="No"/>
  </x:r>
  <x:r>
    <x:x v="247"/>
    <x:x v="1"/>
    <x:s v="Annual"/>
    <x:s v="Healthcare"/>
    <x:s v="201-500"/>
    <x:n v="111"/>
    <x:n v="431.37"/>
    <x:s v="Direct Sales"/>
    <x:s v="Europe"/>
    <x:d v="2024-03-22T00:00:00"/>
    <x:x v="0"/>
    <x:d v="2024-11-18T00:00:00"/>
    <x:s v="Company Closed"/>
    <x:n v="5"/>
    <x:n v="1"/>
    <x:n v="36"/>
    <x:s v="No"/>
  </x:r>
  <x:r>
    <x:x v="248"/>
    <x:x v="0"/>
    <x:s v="Monthly"/>
    <x:s v="Finance"/>
    <x:s v="1-10"/>
    <x:n v="6"/>
    <x:n v="138.25"/>
    <x:s v="Direct Sales"/>
    <x:s v="North America"/>
    <x:d v="2025-04-18T00:00:00"/>
    <x:x v="0"/>
    <x:d v="2025-10-15T00:00:00"/>
    <x:s v="Poor Support"/>
    <x:n v="5"/>
    <x:n v="3"/>
    <x:n v="36"/>
    <x:s v="No"/>
  </x:r>
  <x:r>
    <x:x v="249"/>
    <x:x v="2"/>
    <x:s v="Monthly"/>
    <x:s v="Education"/>
    <x:s v="1-10"/>
    <x:n v="1"/>
    <x:n v="199"/>
    <x:s v="Referral"/>
    <x:s v="North America"/>
    <x:d v="2025-10-14T00:00:00"/>
    <x:x v="1"/>
    <x:m/>
    <x:s v=""/>
    <x:n v="1"/>
    <x:n v="10"/>
    <x:n v="69"/>
    <x:s v="No"/>
  </x:r>
  <x:r>
    <x:x v="250"/>
    <x:x v="1"/>
    <x:s v="Annual"/>
    <x:s v="Legal"/>
    <x:s v="11-50"/>
    <x:n v="31"/>
    <x:n v="135.57"/>
    <x:s v="Partner"/>
    <x:s v="Europe"/>
    <x:d v="2022-09-28T00:00:00"/>
    <x:x v="0"/>
    <x:d v="2025-01-12T00:00:00"/>
    <x:s v="Price Too High"/>
    <x:n v="0"/>
    <x:n v="6"/>
    <x:n v="40"/>
    <x:s v="No"/>
  </x:r>
  <x:r>
    <x:x v="251"/>
    <x:x v="2"/>
    <x:s v="Annual"/>
    <x:s v="Legal"/>
    <x:s v="11-50"/>
    <x:n v="19"/>
    <x:n v="625.86"/>
    <x:s v="Social Media"/>
    <x:s v="North America"/>
    <x:d v="2024-05-12T00:00:00"/>
    <x:x v="0"/>
    <x:d v="2025-10-19T00:00:00"/>
    <x:s v="Poor Support"/>
    <x:n v="15"/>
    <x:n v="2"/>
    <x:n v="47"/>
    <x:s v="No"/>
  </x:r>
  <x:r>
    <x:x v="252"/>
    <x:x v="0"/>
    <x:s v="Monthly"/>
    <x:s v="Legal"/>
    <x:s v="11-50"/>
    <x:n v="32"/>
    <x:n v="446.35"/>
    <x:s v="Organic Search"/>
    <x:s v="North America"/>
    <x:d v="2022-11-29T00:00:00"/>
    <x:x v="0"/>
    <x:d v="2024-01-13T00:00:00"/>
    <x:s v="Company Closed"/>
    <x:n v="7"/>
    <x:n v="1"/>
    <x:n v="20"/>
    <x:s v="No"/>
  </x:r>
  <x:r>
    <x:x v="253"/>
    <x:x v="1"/>
    <x:s v="Annual"/>
    <x:s v="Media"/>
    <x:s v="11-50"/>
    <x:n v="12"/>
    <x:n v="65.32"/>
    <x:s v="Organic Search"/>
    <x:s v="Europe"/>
    <x:d v="2025-05-18T00:00:00"/>
    <x:x v="1"/>
    <x:m/>
    <x:s v=""/>
    <x:n v="0"/>
    <x:n v="9"/>
    <x:n v="50"/>
    <x:s v="Yes"/>
  </x:r>
  <x:r>
    <x:x v="254"/>
    <x:x v="2"/>
    <x:s v="Monthly"/>
    <x:s v="Real Estate"/>
    <x:s v="1-10"/>
    <x:n v="1"/>
    <x:n v="199"/>
    <x:s v="Organic Search"/>
    <x:s v="Europe"/>
    <x:d v="2022-03-25T00:00:00"/>
    <x:x v="0"/>
    <x:d v="2022-04-20T00:00:00"/>
    <x:s v="Budget Cuts"/>
    <x:n v="14"/>
    <x:n v="5"/>
    <x:n v="28"/>
    <x:s v="No"/>
  </x:r>
  <x:r>
    <x:x v="255"/>
    <x:x v="2"/>
    <x:s v="Monthly"/>
    <x:s v="Education"/>
    <x:s v="11-50"/>
    <x:n v="7"/>
    <x:n v="378.1"/>
    <x:s v="Organic Search"/>
    <x:s v="North America"/>
    <x:d v="2023-03-07T00:00:00"/>
    <x:x v="1"/>
    <x:m/>
    <x:s v=""/>
    <x:n v="10"/>
    <x:n v="10"/>
    <x:n v="58"/>
    <x:s v="Yes"/>
  </x:r>
  <x:r>
    <x:x v="256"/>
    <x:x v="1"/>
    <x:s v="Annual"/>
    <x:s v="Retail"/>
    <x:s v="500+"/>
    <x:n v="285"/>
    <x:n v="1074.74"/>
    <x:s v="Social Media"/>
    <x:s v="North America"/>
    <x:d v="2024-09-27T00:00:00"/>
    <x:x v="1"/>
    <x:m/>
    <x:s v=""/>
    <x:n v="2"/>
    <x:n v="9"/>
    <x:n v="91"/>
    <x:s v="Yes"/>
  </x:r>
  <x:r>
    <x:x v="257"/>
    <x:x v="1"/>
    <x:s v="Annual"/>
    <x:s v="Real Estate"/>
    <x:s v="51-200"/>
    <x:n v="31"/>
    <x:n v="135.57"/>
    <x:s v="Referral"/>
    <x:s v="Europe"/>
    <x:d v="2022-04-19T00:00:00"/>
    <x:x v="0"/>
    <x:d v="2024-04-18T00:00:00"/>
    <x:s v="No Longer Needed"/>
    <x:n v="4"/>
    <x:n v="5"/>
    <x:n v="36"/>
    <x:s v="No"/>
  </x:r>
  <x:r>
    <x:x v="258"/>
    <x:x v="0"/>
    <x:s v="Annual"/>
    <x:s v="Media"/>
    <x:s v="201-500"/>
    <x:n v="143"/>
    <x:n v="1497.45"/>
    <x:s v="Partner"/>
    <x:s v="Asia Pacific"/>
    <x:d v="2025-07-02T00:00:00"/>
    <x:x v="1"/>
    <x:m/>
    <x:s v=""/>
    <x:n v="3"/>
    <x:n v="1"/>
    <x:n v="84"/>
    <x:s v="No"/>
  </x:r>
  <x:r>
    <x:x v="259"/>
    <x:x v="0"/>
    <x:s v="Monthly"/>
    <x:s v="Real Estate"/>
    <x:s v="500+"/>
    <x:n v="193"/>
    <x:n v="2354.2"/>
    <x:s v="Organic Search"/>
    <x:s v="North America"/>
    <x:d v="2023-07-30T00:00:00"/>
    <x:x v="0"/>
    <x:d v="2025-02-05T00:00:00"/>
    <x:s v="Switched Competitor"/>
    <x:n v="3"/>
    <x:n v="3"/>
    <x:n v="39"/>
    <x:s v="No"/>
  </x:r>
  <x:r>
    <x:x v="260"/>
    <x:x v="0"/>
    <x:s v="Annual"/>
    <x:s v="Legal"/>
    <x:s v="1-10"/>
    <x:n v="5"/>
    <x:n v="107.44"/>
    <x:s v="Organic Search"/>
    <x:s v="North America"/>
    <x:d v="2024-09-08T00:00:00"/>
    <x:x v="1"/>
    <x:m/>
    <x:s v=""/>
    <x:n v="1"/>
    <x:n v="9"/>
    <x:n v="95"/>
    <x:s v="No"/>
  </x:r>
  <x:r>
    <x:x v="261"/>
    <x:x v="2"/>
    <x:s v="Monthly"/>
    <x:s v="Manufacturing"/>
    <x:s v="1-10"/>
    <x:n v="8"/>
    <x:n v="407.95"/>
    <x:s v="Partner"/>
    <x:s v="North America"/>
    <x:d v="2024-02-05T00:00:00"/>
    <x:x v="0"/>
    <x:d v="2025-05-14T00:00:00"/>
    <x:s v="Budget Cuts"/>
    <x:n v="14"/>
    <x:n v="6"/>
    <x:n v="19"/>
    <x:s v="No"/>
  </x:r>
  <x:r>
    <x:x v="262"/>
    <x:x v="2"/>
    <x:s v="Annual"/>
    <x:s v="Healthcare"/>
    <x:s v="11-50"/>
    <x:n v="8"/>
    <x:n v="346.76"/>
    <x:s v="Partner"/>
    <x:s v="Europe"/>
    <x:d v="2025-08-08T00:00:00"/>
    <x:x v="1"/>
    <x:m/>
    <x:s v=""/>
    <x:n v="3"/>
    <x:n v="6"/>
    <x:n v="43"/>
    <x:s v="No"/>
  </x:r>
  <x:r>
    <x:x v="263"/>
    <x:x v="1"/>
    <x:s v="Monthly"/>
    <x:s v="Media"/>
    <x:s v="51-200"/>
    <x:n v="52"/>
    <x:n v="250.85"/>
    <x:s v="Organic Search"/>
    <x:s v="North America"/>
    <x:d v="2025-02-14T00:00:00"/>
    <x:x v="1"/>
    <x:m/>
    <x:s v=""/>
    <x:n v="2"/>
    <x:n v="7"/>
    <x:n v="42"/>
    <x:s v="No"/>
  </x:r>
  <x:r>
    <x:x v="264"/>
    <x:x v="0"/>
    <x:s v="Monthly"/>
    <x:s v="Manufacturing"/>
    <x:s v="51-200"/>
    <x:n v="45"/>
    <x:n v="600.4"/>
    <x:s v="Paid Ads"/>
    <x:s v="North America"/>
    <x:d v="2025-03-22T00:00:00"/>
    <x:x v="1"/>
    <x:m/>
    <x:s v=""/>
    <x:n v="11"/>
    <x:n v="1"/>
    <x:n v="56"/>
    <x:s v="No"/>
  </x:r>
  <x:r>
    <x:x v="265"/>
    <x:x v="1"/>
    <x:s v="Annual"/>
    <x:s v="Retail"/>
    <x:s v="11-50"/>
    <x:n v="22"/>
    <x:n v="102.3"/>
    <x:s v="Referral"/>
    <x:s v="North America"/>
    <x:d v="2022-04-14T00:00:00"/>
    <x:x v="0"/>
    <x:d v="2022-07-08T00:00:00"/>
    <x:s v="Budget Cuts"/>
    <x:n v="5"/>
    <x:n v="4"/>
    <x:n v="20"/>
    <x:s v="No"/>
  </x:r>
  <x:r>
    <x:x v="266"/>
    <x:x v="3"/>
    <x:s v="Monthly"/>
    <x:s v="Consulting"/>
    <x:s v="1-10"/>
    <x:n v="3"/>
    <x:n v="648.7"/>
    <x:s v="Paid Ads"/>
    <x:s v="Asia Pacific"/>
    <x:d v="2023-05-07T00:00:00"/>
    <x:x v="1"/>
    <x:m/>
    <x:s v=""/>
    <x:n v="3"/>
    <x:n v="1"/>
    <x:n v="41"/>
    <x:s v="No"/>
  </x:r>
  <x:r>
    <x:x v="267"/>
    <x:x v="0"/>
    <x:s v="Annual"/>
    <x:s v="Retail"/>
    <x:s v="201-500"/>
    <x:n v="49"/>
    <x:n v="550.63"/>
    <x:s v="Organic Search"/>
    <x:s v="North America"/>
    <x:d v="2022-09-26T00:00:00"/>
    <x:x v="1"/>
    <x:m/>
    <x:s v=""/>
    <x:n v="12"/>
    <x:n v="7"/>
    <x:n v="46"/>
    <x:s v="No"/>
  </x:r>
  <x:r>
    <x:x v="268"/>
    <x:x v="0"/>
    <x:s v="Monthly"/>
    <x:s v="Consulting"/>
    <x:s v="1-10"/>
    <x:n v="3"/>
    <x:n v="102.7"/>
    <x:s v="Social Media"/>
    <x:s v="Asia Pacific"/>
    <x:d v="2025-04-03T00:00:00"/>
    <x:x v="0"/>
    <x:d v="2025-12-11T00:00:00"/>
    <x:s v="No Longer Needed"/>
    <x:n v="3"/>
    <x:n v="2"/>
    <x:n v="20"/>
    <x:s v="No"/>
  </x:r>
  <x:r>
    <x:x v="269"/>
    <x:x v="0"/>
    <x:s v="Monthly"/>
    <x:s v="Media"/>
    <x:s v="51-200"/>
    <x:n v="66"/>
    <x:n v="849.25"/>
    <x:s v="Referral"/>
    <x:s v="North America"/>
    <x:d v="2023-02-25T00:00:00"/>
    <x:x v="0"/>
    <x:d v="2025-08-03T00:00:00"/>
    <x:s v="Price Too High"/>
    <x:n v="6"/>
    <x:n v="2"/>
    <x:n v="37"/>
    <x:s v="No"/>
  </x:r>
  <x:r>
    <x:x v="270"/>
    <x:x v="0"/>
    <x:s v="Monthly"/>
    <x:s v="Technology"/>
    <x:s v="11-50"/>
    <x:n v="13"/>
    <x:n v="221.2"/>
    <x:s v="Organic Search"/>
    <x:s v="North America"/>
    <x:d v="2025-02-24T00:00:00"/>
    <x:x v="0"/>
    <x:d v="2025-03-05T00:00:00"/>
    <x:s v="Company Closed"/>
    <x:n v="6"/>
    <x:n v="4"/>
    <x:n v="19"/>
    <x:s v="No"/>
  </x:r>
  <x:r>
    <x:x v="271"/>
    <x:x v="1"/>
    <x:s v="Monthly"/>
    <x:s v="Legal"/>
    <x:s v="201-500"/>
    <x:n v="103"/>
    <x:n v="472.7"/>
    <x:s v="Partner"/>
    <x:s v="Europe"/>
    <x:d v="2024-02-21T00:00:00"/>
    <x:x v="0"/>
    <x:d v="2024-05-27T00:00:00"/>
    <x:s v="Budget Cuts"/>
    <x:n v="11"/>
    <x:n v="1"/>
    <x:n v="14"/>
    <x:s v="No"/>
  </x:r>
  <x:r>
    <x:x v="272"/>
    <x:x v="0"/>
    <x:s v="Annual"/>
    <x:s v="Manufacturing"/>
    <x:s v="1-10"/>
    <x:n v="6"/>
    <x:n v="117.51"/>
    <x:s v="Organic Search"/>
    <x:s v="Latin America"/>
    <x:d v="2025-12-31T00:00:00"/>
    <x:x v="1"/>
    <x:m/>
    <x:s v=""/>
    <x:n v="2"/>
    <x:n v="9"/>
    <x:n v="20"/>
    <x:s v="No"/>
  </x:r>
  <x:r>
    <x:x v="273"/>
    <x:x v="0"/>
    <x:s v="Annual"/>
    <x:s v="Finance"/>
    <x:s v="51-200"/>
    <x:n v="41"/>
    <x:n v="470.05"/>
    <x:s v="Partner"/>
    <x:s v="Europe"/>
    <x:d v="2025-08-13T00:00:00"/>
    <x:x v="1"/>
    <x:m/>
    <x:s v=""/>
    <x:n v="2"/>
    <x:n v="8"/>
    <x:n v="37"/>
    <x:s v="No"/>
  </x:r>
  <x:r>
    <x:x v="274"/>
    <x:x v="2"/>
    <x:s v="Monthly"/>
    <x:s v="Education"/>
    <x:s v="1-10"/>
    <x:n v="6"/>
    <x:n v="348.25"/>
    <x:s v="Organic Search"/>
    <x:s v="Latin America"/>
    <x:d v="2024-10-01T00:00:00"/>
    <x:x v="1"/>
    <x:m/>
    <x:s v=""/>
    <x:n v="7"/>
    <x:n v="7"/>
    <x:n v="30"/>
    <x:s v="No"/>
  </x:r>
  <x:r>
    <x:x v="275"/>
    <x:x v="1"/>
    <x:s v="Monthly"/>
    <x:s v="Legal"/>
    <x:s v="201-500"/>
    <x:n v="50"/>
    <x:n v="242.15"/>
    <x:s v="Referral"/>
    <x:s v="Asia Pacific"/>
    <x:d v="2024-01-28T00:00:00"/>
    <x:x v="1"/>
    <x:m/>
    <x:s v=""/>
    <x:n v="0"/>
    <x:n v="3"/>
    <x:n v="40"/>
    <x:s v="Yes"/>
  </x:r>
  <x:r>
    <x:x v="276"/>
    <x:x v="3"/>
    <x:s v="Monthly"/>
    <x:s v="Education"/>
    <x:s v="11-50"/>
    <x:n v="31"/>
    <x:n v="2744.5"/>
    <x:s v="Referral"/>
    <x:s v="Europe"/>
    <x:d v="2023-02-02T00:00:00"/>
    <x:x v="0"/>
    <x:d v="2023-05-07T00:00:00"/>
    <x:s v="Switched Competitor"/>
    <x:n v="3"/>
    <x:n v="1"/>
    <x:n v="12"/>
    <x:s v="No"/>
  </x:r>
  <x:r>
    <x:x v="277"/>
    <x:x v="2"/>
    <x:s v="Monthly"/>
    <x:s v="Finance"/>
    <x:s v="51-200"/>
    <x:n v="48"/>
    <x:n v="1601.95"/>
    <x:s v="Organic Search"/>
    <x:s v="Europe"/>
    <x:d v="2025-10-17T00:00:00"/>
    <x:x v="1"/>
    <x:m/>
    <x:s v=""/>
    <x:n v="7"/>
    <x:n v="4"/>
    <x:n v="52"/>
    <x:s v="No"/>
  </x:r>
  <x:r>
    <x:x v="278"/>
    <x:x v="1"/>
    <x:s v="Monthly"/>
    <x:s v="Finance"/>
    <x:s v="1-10"/>
    <x:n v="7"/>
    <x:n v="55.1"/>
    <x:s v="Organic Search"/>
    <x:s v="North America"/>
    <x:d v="2025-09-09T00:00:00"/>
    <x:x v="1"/>
    <x:m/>
    <x:s v=""/>
    <x:n v="4"/>
    <x:n v="3"/>
    <x:n v="93"/>
    <x:s v="No"/>
  </x:r>
  <x:r>
    <x:x v="279"/>
    <x:x v="1"/>
    <x:s v="Monthly"/>
    <x:s v="Healthcare"/>
    <x:s v="1-10"/>
    <x:n v="3"/>
    <x:n v="37.7"/>
    <x:s v="Direct Sales"/>
    <x:s v="Europe"/>
    <x:d v="2025-05-01T00:00:00"/>
    <x:x v="1"/>
    <x:m/>
    <x:s v=""/>
    <x:n v="2"/>
    <x:n v="6"/>
    <x:n v="66"/>
    <x:s v="No"/>
  </x:r>
  <x:r>
    <x:x v="280"/>
    <x:x v="2"/>
    <x:s v="Annual"/>
    <x:s v="Legal"/>
    <x:s v="11-50"/>
    <x:n v="25"/>
    <x:n v="778.09"/>
    <x:s v="Partner"/>
    <x:s v="North America"/>
    <x:d v="2025-06-11T00:00:00"/>
    <x:x v="1"/>
    <x:m/>
    <x:s v=""/>
    <x:n v="4"/>
    <x:n v="3"/>
    <x:n v="90"/>
    <x:s v="No"/>
  </x:r>
  <x:r>
    <x:x v="281"/>
    <x:x v="0"/>
    <x:s v="Monthly"/>
    <x:s v="Finance"/>
    <x:s v="11-50"/>
    <x:n v="15"/>
    <x:n v="244.9"/>
    <x:s v="Partner"/>
    <x:s v="North America"/>
    <x:d v="2025-05-03T00:00:00"/>
    <x:x v="1"/>
    <x:m/>
    <x:s v=""/>
    <x:n v="1"/>
    <x:n v="6"/>
    <x:n v="86"/>
    <x:s v="Yes"/>
  </x:r>
  <x:r>
    <x:x v="282"/>
    <x:x v="0"/>
    <x:s v="Monthly"/>
    <x:s v="Manufacturing"/>
    <x:s v="51-200"/>
    <x:n v="18"/>
    <x:n v="280.45"/>
    <x:s v="Paid Ads"/>
    <x:s v="North America"/>
    <x:d v="2022-11-22T00:00:00"/>
    <x:x v="0"/>
    <x:d v="2025-09-25T00:00:00"/>
    <x:s v="Switched Competitor"/>
    <x:n v="6"/>
    <x:n v="2"/>
    <x:n v="11"/>
    <x:s v="No"/>
  </x:r>
  <x:r>
    <x:x v="283"/>
    <x:x v="1"/>
    <x:s v="Monthly"/>
    <x:s v="Manufacturing"/>
    <x:s v="201-500"/>
    <x:n v="82"/>
    <x:n v="381.35"/>
    <x:s v="Organic Search"/>
    <x:s v="North America"/>
    <x:d v="2024-11-10T00:00:00"/>
    <x:x v="1"/>
    <x:m/>
    <x:s v=""/>
    <x:n v="10"/>
    <x:n v="4"/>
    <x:n v="84"/>
    <x:s v="Yes"/>
  </x:r>
  <x:r>
    <x:x v="284"/>
    <x:x v="1"/>
    <x:s v="Monthly"/>
    <x:s v="Healthcare"/>
    <x:s v="201-500"/>
    <x:n v="111"/>
    <x:n v="507.5"/>
    <x:s v="Social Media"/>
    <x:s v="North America"/>
    <x:d v="2025-12-13T00:00:00"/>
    <x:x v="1"/>
    <x:m/>
    <x:s v=""/>
    <x:n v="9"/>
    <x:n v="7"/>
    <x:n v="73"/>
    <x:s v="No"/>
  </x:r>
  <x:r>
    <x:x v="285"/>
    <x:x v="2"/>
    <x:s v="Annual"/>
    <x:s v="Finance"/>
    <x:s v="1-10"/>
    <x:n v="2"/>
    <x:n v="194.52"/>
    <x:s v="Organic Search"/>
    <x:s v="Latin America"/>
    <x:d v="2023-07-02T00:00:00"/>
    <x:x v="0"/>
    <x:d v="2023-09-25T00:00:00"/>
    <x:s v="Budget Cuts"/>
    <x:n v="1"/>
    <x:n v="2"/>
    <x:n v="39"/>
    <x:s v="No"/>
  </x:r>
  <x:r>
    <x:x v="286"/>
    <x:x v="3"/>
    <x:s v="Monthly"/>
    <x:s v="Manufacturing"/>
    <x:s v="51-200"/>
    <x:n v="71"/>
    <x:n v="5738.5"/>
    <x:s v="Referral"/>
    <x:s v="North America"/>
    <x:d v="2023-01-13T00:00:00"/>
    <x:x v="1"/>
    <x:m/>
    <x:s v=""/>
    <x:n v="9"/>
    <x:n v="10"/>
    <x:n v="36"/>
    <x:s v="No"/>
  </x:r>
  <x:r>
    <x:x v="287"/>
    <x:x v="2"/>
    <x:s v="Monthly"/>
    <x:s v="Technology"/>
    <x:s v="11-50"/>
    <x:n v="19"/>
    <x:n v="736.3"/>
    <x:s v="Organic Search"/>
    <x:s v="North America"/>
    <x:d v="2025-03-22T00:00:00"/>
    <x:x v="1"/>
    <x:m/>
    <x:s v=""/>
    <x:n v="12"/>
    <x:n v="9"/>
    <x:n v="47"/>
    <x:s v="Yes"/>
  </x:r>
  <x:r>
    <x:x v="288"/>
    <x:x v="0"/>
    <x:s v="Monthly"/>
    <x:s v="Manufacturing"/>
    <x:s v="51-200"/>
    <x:n v="51"/>
    <x:n v="671.5"/>
    <x:s v="Organic Search"/>
    <x:s v="North America"/>
    <x:d v="2022-01-06T00:00:00"/>
    <x:x v="1"/>
    <x:m/>
    <x:s v=""/>
    <x:n v="3"/>
    <x:n v="7"/>
    <x:n v="75"/>
    <x:s v="No"/>
  </x:r>
  <x:r>
    <x:x v="289"/>
    <x:x v="2"/>
    <x:s v="Annual"/>
    <x:s v="Consulting"/>
    <x:s v="201-500"/>
    <x:n v="55"/>
    <x:n v="1539.27"/>
    <x:s v="Paid Ads"/>
    <x:s v="Latin America"/>
    <x:d v="2022-07-29T00:00:00"/>
    <x:x v="0"/>
    <x:d v="2024-05-29T00:00:00"/>
    <x:s v="Poor Support"/>
    <x:n v="8"/>
    <x:n v="2"/>
    <x:n v="34"/>
    <x:s v="No"/>
  </x:r>
  <x:r>
    <x:x v="290"/>
    <x:x v="3"/>
    <x:s v="Annual"/>
    <x:s v="Finance"/>
    <x:s v="51-200"/>
    <x:n v="16"/>
    <x:n v="1378.49"/>
    <x:s v="Social Media"/>
    <x:s v="North America"/>
    <x:d v="2023-01-12T00:00:00"/>
    <x:x v="1"/>
    <x:m/>
    <x:s v=""/>
    <x:n v="9"/>
    <x:n v="6"/>
    <x:n v="31"/>
    <x:s v="No"/>
  </x:r>
  <x:r>
    <x:x v="291"/>
    <x:x v="0"/>
    <x:s v="Monthly"/>
    <x:s v="Technology"/>
    <x:s v="1-10"/>
    <x:n v="8"/>
    <x:n v="161.95"/>
    <x:s v="Direct Sales"/>
    <x:s v="North America"/>
    <x:d v="2023-07-03T00:00:00"/>
    <x:x v="0"/>
    <x:d v="2025-01-31T00:00:00"/>
    <x:s v="Switched Competitor"/>
    <x:n v="3"/>
    <x:n v="1"/>
    <x:n v="32"/>
    <x:s v="No"/>
  </x:r>
  <x:r>
    <x:x v="292"/>
    <x:x v="0"/>
    <x:s v="Monthly"/>
    <x:s v="Finance"/>
    <x:s v="11-50"/>
    <x:n v="24"/>
    <x:n v="351.55"/>
    <x:s v="Direct Sales"/>
    <x:s v="North America"/>
    <x:d v="2022-02-21T00:00:00"/>
    <x:x v="0"/>
    <x:d v="2022-08-11T00:00:00"/>
    <x:s v="Switched Competitor"/>
    <x:n v="8"/>
    <x:n v="1"/>
    <x:n v="35"/>
    <x:s v="No"/>
  </x:r>
  <x:r>
    <x:x v="293"/>
    <x:x v="2"/>
    <x:s v="Monthly"/>
    <x:s v="Finance"/>
    <x:s v="51-200"/>
    <x:n v="51"/>
    <x:n v="1691.5"/>
    <x:s v="Referral"/>
    <x:s v="North America"/>
    <x:d v="2025-08-22T00:00:00"/>
    <x:x v="0"/>
    <x:d v="2025-11-14T00:00:00"/>
    <x:s v="Switched Competitor"/>
    <x:n v="1"/>
    <x:n v="4"/>
    <x:n v="25"/>
    <x:s v="No"/>
  </x:r>
  <x:r>
    <x:x v="294"/>
    <x:x v="1"/>
    <x:s v="Monthly"/>
    <x:s v="Manufacturing"/>
    <x:s v="201-500"/>
    <x:n v="34"/>
    <x:n v="172.55"/>
    <x:s v="Referral"/>
    <x:s v="Europe"/>
    <x:d v="2022-10-12T00:00:00"/>
    <x:x v="0"/>
    <x:d v="2022-10-29T00:00:00"/>
    <x:s v="Budget Cuts"/>
    <x:n v="6"/>
    <x:n v="4"/>
    <x:n v="12"/>
    <x:s v="No"/>
  </x:r>
  <x:r>
    <x:x v="295"/>
    <x:x v="1"/>
    <x:s v="Monthly"/>
    <x:s v="Education"/>
    <x:s v="201-500"/>
    <x:n v="146"/>
    <x:n v="659.75"/>
    <x:s v="Partner"/>
    <x:s v="North America"/>
    <x:d v="2023-10-19T00:00:00"/>
    <x:x v="0"/>
    <x:d v="2023-11-10T00:00:00"/>
    <x:s v="Price Too High"/>
    <x:n v="8"/>
    <x:n v="3"/>
    <x:n v="13"/>
    <x:s v="No"/>
  </x:r>
  <x:r>
    <x:x v="296"/>
    <x:x v="2"/>
    <x:s v="Monthly"/>
    <x:s v="Technology"/>
    <x:s v="51-200"/>
    <x:n v="36"/>
    <x:n v="1243.75"/>
    <x:s v="Paid Ads"/>
    <x:s v="North America"/>
    <x:d v="2024-12-19T00:00:00"/>
    <x:x v="1"/>
    <x:m/>
    <x:s v=""/>
    <x:n v="6"/>
    <x:n v="10"/>
    <x:n v="82"/>
    <x:s v="No"/>
  </x:r>
  <x:r>
    <x:x v="297"/>
    <x:x v="1"/>
    <x:s v="Monthly"/>
    <x:s v="Education"/>
    <x:s v="51-200"/>
    <x:n v="70"/>
    <x:n v="329.15"/>
    <x:s v="Direct Sales"/>
    <x:s v="Latin America"/>
    <x:d v="2023-06-28T00:00:00"/>
    <x:x v="0"/>
    <x:d v="2024-08-27T00:00:00"/>
    <x:s v="Budget Cuts"/>
    <x:n v="15"/>
    <x:n v="2"/>
    <x:n v="11"/>
    <x:s v="No"/>
  </x:r>
  <x:r>
    <x:x v="298"/>
    <x:x v="2"/>
    <x:s v="Monthly"/>
    <x:s v="Retail"/>
    <x:s v="11-50"/>
    <x:n v="13"/>
    <x:n v="557.2"/>
    <x:s v="Organic Search"/>
    <x:s v="North America"/>
    <x:d v="2022-04-29T00:00:00"/>
    <x:x v="0"/>
    <x:d v="2022-07-15T00:00:00"/>
    <x:s v="Price Too High"/>
    <x:n v="6"/>
    <x:n v="6"/>
    <x:n v="43"/>
    <x:s v="No"/>
  </x:r>
  <x:r>
    <x:x v="299"/>
    <x:x v="1"/>
    <x:s v="Monthly"/>
    <x:s v="Manufacturing"/>
    <x:s v="11-50"/>
    <x:n v="23"/>
    <x:n v="124.7"/>
    <x:s v="Paid Ads"/>
    <x:s v="Europe"/>
    <x:d v="2025-06-06T00:00:00"/>
    <x:x v="1"/>
    <x:m/>
    <x:s v=""/>
    <x:n v="11"/>
    <x:n v="10"/>
    <x:n v="44"/>
    <x:s v="No"/>
  </x:r>
  <x:r>
    <x:x v="300"/>
    <x:x v="0"/>
    <x:s v="Annual"/>
    <x:s v="Legal"/>
    <x:s v="201-500"/>
    <x:n v="108"/>
    <x:n v="1144.91"/>
    <x:s v="Organic Search"/>
    <x:s v="North America"/>
    <x:d v="2024-12-14T00:00:00"/>
    <x:x v="1"/>
    <x:m/>
    <x:s v=""/>
    <x:n v="3"/>
    <x:n v="6"/>
    <x:n v="32"/>
    <x:s v="Yes"/>
  </x:r>
  <x:r>
    <x:x v="301"/>
    <x:x v="2"/>
    <x:s v="Annual"/>
    <x:s v="Finance"/>
    <x:s v="11-50"/>
    <x:n v="19"/>
    <x:n v="625.86"/>
    <x:s v="Paid Ads"/>
    <x:s v="North America"/>
    <x:d v="2023-04-08T00:00:00"/>
    <x:x v="1"/>
    <x:m/>
    <x:s v=""/>
    <x:n v="8"/>
    <x:n v="10"/>
    <x:n v="53"/>
    <x:s v="No"/>
  </x:r>
  <x:r>
    <x:x v="302"/>
    <x:x v="2"/>
    <x:s v="Annual"/>
    <x:s v="Consulting"/>
    <x:s v="11-50"/>
    <x:n v="22"/>
    <x:n v="701.97"/>
    <x:s v="Social Media"/>
    <x:s v="Latin America"/>
    <x:d v="2022-01-24T00:00:00"/>
    <x:x v="0"/>
    <x:d v="2023-12-12T00:00:00"/>
    <x:s v="Poor Support"/>
    <x:n v="1"/>
    <x:n v="5"/>
    <x:n v="10"/>
    <x:s v="No"/>
  </x:r>
  <x:r>
    <x:x v="303"/>
    <x:x v="0"/>
    <x:s v="Annual"/>
    <x:s v="Media"/>
    <x:s v="11-50"/>
    <x:n v="29"/>
    <x:n v="349.18"/>
    <x:s v="Referral"/>
    <x:s v="North America"/>
    <x:d v="2022-12-03T00:00:00"/>
    <x:x v="0"/>
    <x:d v="2023-02-19T00:00:00"/>
    <x:s v="No Longer Needed"/>
    <x:n v="14"/>
    <x:n v="3"/>
    <x:n v="32"/>
    <x:s v="No"/>
  </x:r>
  <x:r>
    <x:x v="304"/>
    <x:x v="2"/>
    <x:s v="Monthly"/>
    <x:s v="Manufacturing"/>
    <x:s v="201-500"/>
    <x:n v="99"/>
    <x:n v="3124.3"/>
    <x:s v="Partner"/>
    <x:s v="North America"/>
    <x:d v="2025-02-24T00:00:00"/>
    <x:x v="1"/>
    <x:m/>
    <x:s v=""/>
    <x:n v="8"/>
    <x:n v="7"/>
    <x:n v="17"/>
    <x:s v="No"/>
  </x:r>
  <x:r>
    <x:x v="305"/>
    <x:x v="2"/>
    <x:s v="Monthly"/>
    <x:s v="Legal"/>
    <x:s v="11-50"/>
    <x:n v="26"/>
    <x:n v="945.25"/>
    <x:s v="Organic Search"/>
    <x:s v="Europe"/>
    <x:d v="2024-12-15T00:00:00"/>
    <x:x v="1"/>
    <x:m/>
    <x:s v=""/>
    <x:n v="4"/>
    <x:n v="6"/>
    <x:n v="41"/>
    <x:s v="No"/>
  </x:r>
  <x:r>
    <x:x v="306"/>
    <x:x v="3"/>
    <x:s v="Annual"/>
    <x:s v="Manufacturing"/>
    <x:s v="51-200"/>
    <x:n v="50"/>
    <x:n v="3541.65"/>
    <x:s v="Organic Search"/>
    <x:s v="North America"/>
    <x:d v="2025-02-09T00:00:00"/>
    <x:x v="1"/>
    <x:m/>
    <x:s v=""/>
    <x:n v="9"/>
    <x:n v="9"/>
    <x:n v="36"/>
    <x:s v="No"/>
  </x:r>
  <x:r>
    <x:x v="307"/>
    <x:x v="2"/>
    <x:s v="Annual"/>
    <x:s v="Consulting"/>
    <x:s v="11-50"/>
    <x:n v="21"/>
    <x:n v="676.6"/>
    <x:s v="Paid Ads"/>
    <x:s v="North America"/>
    <x:d v="2025-09-20T00:00:00"/>
    <x:x v="1"/>
    <x:m/>
    <x:s v=""/>
    <x:n v="0"/>
    <x:n v="8"/>
    <x:n v="91"/>
    <x:s v="No"/>
  </x:r>
  <x:r>
    <x:x v="308"/>
    <x:x v="1"/>
    <x:s v="Annual"/>
    <x:s v="Manufacturing"/>
    <x:s v="1-10"/>
    <x:n v="7"/>
    <x:n v="46.83"/>
    <x:s v="Paid Ads"/>
    <x:s v="North America"/>
    <x:d v="2023-09-03T00:00:00"/>
    <x:x v="0"/>
    <x:d v="2024-01-09T00:00:00"/>
    <x:s v="Poor Support"/>
    <x:n v="5"/>
    <x:n v="2"/>
    <x:n v="41"/>
    <x:s v="No"/>
  </x:r>
  <x:r>
    <x:x v="309"/>
    <x:x v="1"/>
    <x:s v="Monthly"/>
    <x:s v="Legal"/>
    <x:s v="201-500"/>
    <x:n v="71"/>
    <x:n v="333.5"/>
    <x:s v="Direct Sales"/>
    <x:s v="Europe"/>
    <x:d v="2023-07-08T00:00:00"/>
    <x:x v="0"/>
    <x:d v="2024-02-11T00:00:00"/>
    <x:s v="No Longer Needed"/>
    <x:n v="1"/>
    <x:n v="3"/>
    <x:n v="14"/>
    <x:s v="No"/>
  </x:r>
  <x:r>
    <x:x v="310"/>
    <x:x v="0"/>
    <x:s v="Annual"/>
    <x:s v="Finance"/>
    <x:s v="500+"/>
    <x:n v="290"/>
    <x:n v="2978.1"/>
    <x:s v="Referral"/>
    <x:s v="North America"/>
    <x:d v="2024-02-15T00:00:00"/>
    <x:x v="1"/>
    <x:m/>
    <x:s v=""/>
    <x:n v="9"/>
    <x:n v="9"/>
    <x:n v="39"/>
    <x:s v="No"/>
  </x:r>
  <x:r>
    <x:x v="311"/>
    <x:x v="1"/>
    <x:s v="Annual"/>
    <x:s v="Real Estate"/>
    <x:s v="201-500"/>
    <x:n v="36"/>
    <x:n v="154.06"/>
    <x:s v="Partner"/>
    <x:s v="Asia Pacific"/>
    <x:d v="2024-03-06T00:00:00"/>
    <x:x v="0"/>
    <x:d v="2024-09-01T00:00:00"/>
    <x:s v="Switched Competitor"/>
    <x:n v="4"/>
    <x:n v="5"/>
    <x:n v="42"/>
    <x:s v="No"/>
  </x:r>
  <x:r>
    <x:x v="312"/>
    <x:x v="1"/>
    <x:s v="Monthly"/>
    <x:s v="Education"/>
    <x:s v="51-200"/>
    <x:n v="74"/>
    <x:n v="346.55"/>
    <x:s v="Organic Search"/>
    <x:s v="Europe"/>
    <x:d v="2025-01-22T00:00:00"/>
    <x:x v="1"/>
    <x:m/>
    <x:s v=""/>
    <x:n v="3"/>
    <x:n v="4"/>
    <x:n v="18"/>
    <x:s v="No"/>
  </x:r>
  <x:r>
    <x:x v="313"/>
    <x:x v="1"/>
    <x:s v="Annual"/>
    <x:s v="Media"/>
    <x:s v="1-10"/>
    <x:n v="8"/>
    <x:n v="50.53"/>
    <x:s v="Referral"/>
    <x:s v="Latin America"/>
    <x:d v="2024-10-07T00:00:00"/>
    <x:x v="1"/>
    <x:m/>
    <x:s v=""/>
    <x:n v="3"/>
    <x:n v="2"/>
    <x:n v="22"/>
    <x:s v="No"/>
  </x:r>
  <x:r>
    <x:x v="314"/>
    <x:x v="1"/>
    <x:s v="Monthly"/>
    <x:s v="Education"/>
    <x:s v="11-50"/>
    <x:n v="13"/>
    <x:n v="81.2"/>
    <x:s v="Paid Ads"/>
    <x:s v="Europe"/>
    <x:d v="2025-03-23T00:00:00"/>
    <x:x v="0"/>
    <x:d v="2025-09-20T00:00:00"/>
    <x:s v="Company Closed"/>
    <x:n v="12"/>
    <x:n v="3"/>
    <x:n v="29"/>
    <x:s v="No"/>
  </x:r>
  <x:r>
    <x:x v="315"/>
    <x:x v="0"/>
    <x:s v="Annual"/>
    <x:s v="Finance"/>
    <x:s v="11-50"/>
    <x:n v="33"/>
    <x:n v="389.47"/>
    <x:s v="Partner"/>
    <x:s v="Latin America"/>
    <x:d v="2022-10-01T00:00:00"/>
    <x:x v="0"/>
    <x:d v="2025-09-06T00:00:00"/>
    <x:s v="Poor Support"/>
    <x:n v="11"/>
    <x:n v="6"/>
    <x:n v="37"/>
    <x:s v="No"/>
  </x:r>
  <x:r>
    <x:x v="316"/>
    <x:x v="1"/>
    <x:s v="Monthly"/>
    <x:s v="Finance"/>
    <x:s v="11-50"/>
    <x:n v="31"/>
    <x:n v="159.5"/>
    <x:s v="Partner"/>
    <x:s v="North America"/>
    <x:d v="2024-12-09T00:00:00"/>
    <x:x v="0"/>
    <x:d v="2025-04-11T00:00:00"/>
    <x:s v="Price Too High"/>
    <x:n v="6"/>
    <x:n v="3"/>
    <x:n v="26"/>
    <x:s v="No"/>
  </x:r>
  <x:r>
    <x:x v="317"/>
    <x:x v="1"/>
    <x:s v="Monthly"/>
    <x:s v="Retail"/>
    <x:s v="1-10"/>
    <x:n v="1"/>
    <x:n v="29"/>
    <x:s v="Social Media"/>
    <x:s v="Latin America"/>
    <x:d v="2025-02-06T00:00:00"/>
    <x:x v="0"/>
    <x:d v="2025-10-26T00:00:00"/>
    <x:s v="Company Closed"/>
    <x:n v="12"/>
    <x:n v="3"/>
    <x:n v="30"/>
    <x:s v="No"/>
  </x:r>
  <x:r>
    <x:x v="318"/>
    <x:x v="1"/>
    <x:s v="Annual"/>
    <x:s v="Legal"/>
    <x:s v="51-200"/>
    <x:n v="40"/>
    <x:n v="168.85"/>
    <x:s v="Organic Search"/>
    <x:s v="Europe"/>
    <x:d v="2022-07-16T00:00:00"/>
    <x:x v="0"/>
    <x:d v="2022-10-13T00:00:00"/>
    <x:s v="Switched Competitor"/>
    <x:n v="14"/>
    <x:n v="4"/>
    <x:n v="38"/>
    <x:s v="No"/>
  </x:r>
  <x:r>
    <x:x v="319"/>
    <x:x v="0"/>
    <x:s v="Annual"/>
    <x:s v="Legal"/>
    <x:s v="51-200"/>
    <x:n v="20"/>
    <x:n v="258.53"/>
    <x:s v="Organic Search"/>
    <x:s v="Europe"/>
    <x:d v="2023-12-19T00:00:00"/>
    <x:x v="1"/>
    <x:m/>
    <x:s v=""/>
    <x:n v="10"/>
    <x:n v="9"/>
    <x:n v="34"/>
    <x:s v="No"/>
  </x:r>
  <x:r>
    <x:x v="320"/>
    <x:x v="0"/>
    <x:s v="Monthly"/>
    <x:s v="Education"/>
    <x:s v="1-10"/>
    <x:n v="2"/>
    <x:n v="90.85"/>
    <x:s v="Organic Search"/>
    <x:s v="North America"/>
    <x:d v="2025-03-11T00:00:00"/>
    <x:x v="0"/>
    <x:d v="2025-04-30T00:00:00"/>
    <x:s v="Company Closed"/>
    <x:n v="8"/>
    <x:n v="3"/>
    <x:n v="15"/>
    <x:s v="No"/>
  </x:r>
  <x:r>
    <x:x v="321"/>
    <x:x v="0"/>
    <x:s v="Annual"/>
    <x:s v="Consulting"/>
    <x:s v="51-200"/>
    <x:n v="34"/>
    <x:n v="399.54"/>
    <x:s v="Social Media"/>
    <x:s v="North America"/>
    <x:d v="2024-10-14T00:00:00"/>
    <x:x v="0"/>
    <x:d v="2024-12-11T00:00:00"/>
    <x:s v="Missing Features"/>
    <x:n v="11"/>
    <x:n v="6"/>
    <x:n v="12"/>
    <x:s v="No"/>
  </x:r>
  <x:r>
    <x:x v="322"/>
    <x:x v="2"/>
    <x:s v="Monthly"/>
    <x:s v="Media"/>
    <x:s v="1-10"/>
    <x:n v="7"/>
    <x:n v="378.1"/>
    <x:s v="Partner"/>
    <x:s v="Asia Pacific"/>
    <x:d v="2023-10-18T00:00:00"/>
    <x:x v="1"/>
    <x:m/>
    <x:s v=""/>
    <x:n v="5"/>
    <x:n v="9"/>
    <x:n v="55"/>
    <x:s v="No"/>
  </x:r>
  <x:r>
    <x:x v="323"/>
    <x:x v="1"/>
    <x:s v="Annual"/>
    <x:s v="Consulting"/>
    <x:s v="51-200"/>
    <x:n v="24"/>
    <x:n v="109.69"/>
    <x:s v="Organic Search"/>
    <x:s v="North America"/>
    <x:d v="2025-11-12T00:00:00"/>
    <x:x v="1"/>
    <x:m/>
    <x:s v=""/>
    <x:n v="7"/>
    <x:n v="2"/>
    <x:n v="90"/>
    <x:s v="No"/>
  </x:r>
  <x:r>
    <x:x v="324"/>
    <x:x v="0"/>
    <x:s v="Annual"/>
    <x:s v="Technology"/>
    <x:s v="201-500"/>
    <x:n v="105"/>
    <x:n v="1114.69"/>
    <x:s v="Paid Ads"/>
    <x:s v="Europe"/>
    <x:d v="2022-03-28T00:00:00"/>
    <x:x v="0"/>
    <x:d v="2023-09-25T00:00:00"/>
    <x:s v="Budget Cuts"/>
    <x:n v="2"/>
    <x:n v="1"/>
    <x:n v="15"/>
    <x:s v="No"/>
  </x:r>
  <x:r>
    <x:x v="325"/>
    <x:x v="2"/>
    <x:s v="Annual"/>
    <x:s v="Education"/>
    <x:s v="11-50"/>
    <x:n v="10"/>
    <x:n v="397.5"/>
    <x:s v="Partner"/>
    <x:s v="North America"/>
    <x:d v="2025-01-19T00:00:00"/>
    <x:x v="1"/>
    <x:m/>
    <x:s v=""/>
    <x:n v="6"/>
    <x:n v="9"/>
    <x:n v="77"/>
    <x:s v="Yes"/>
  </x:r>
  <x:r>
    <x:x v="326"/>
    <x:x v="0"/>
    <x:s v="Monthly"/>
    <x:s v="Consulting"/>
    <x:s v="11-50"/>
    <x:n v="15"/>
    <x:n v="244.9"/>
    <x:s v="Partner"/>
    <x:s v="Asia Pacific"/>
    <x:d v="2022-05-04T00:00:00"/>
    <x:x v="0"/>
    <x:d v="2022-06-25T00:00:00"/>
    <x:s v="Company Closed"/>
    <x:n v="14"/>
    <x:n v="1"/>
    <x:n v="15"/>
    <x:s v="No"/>
  </x:r>
  <x:r>
    <x:x v="327"/>
    <x:x v="0"/>
    <x:s v="Monthly"/>
    <x:s v="Technology"/>
    <x:s v="11-50"/>
    <x:n v="13"/>
    <x:n v="221.2"/>
    <x:s v="Paid Ads"/>
    <x:s v="Europe"/>
    <x:d v="2024-08-30T00:00:00"/>
    <x:x v="1"/>
    <x:m/>
    <x:s v=""/>
    <x:n v="2"/>
    <x:n v="4"/>
    <x:n v="71"/>
    <x:s v="No"/>
  </x:r>
  <x:r>
    <x:x v="328"/>
    <x:x v="1"/>
    <x:s v="Monthly"/>
    <x:s v="Legal"/>
    <x:s v="500+"/>
    <x:n v="297"/>
    <x:n v="1316.6"/>
    <x:s v="Partner"/>
    <x:s v="Latin America"/>
    <x:d v="2025-12-11T00:00:00"/>
    <x:x v="1"/>
    <x:m/>
    <x:s v=""/>
    <x:n v="7"/>
    <x:n v="4"/>
    <x:n v="44"/>
    <x:s v="No"/>
  </x:r>
  <x:r>
    <x:x v="329"/>
    <x:x v="0"/>
    <x:s v="Monthly"/>
    <x:s v="Retail"/>
    <x:s v="51-200"/>
    <x:n v="51"/>
    <x:n v="671.5"/>
    <x:s v="Direct Sales"/>
    <x:s v="Asia Pacific"/>
    <x:d v="2024-03-17T00:00:00"/>
    <x:x v="1"/>
    <x:m/>
    <x:s v=""/>
    <x:n v="7"/>
    <x:n v="4"/>
    <x:n v="84"/>
    <x:s v="No"/>
  </x:r>
  <x:r>
    <x:x v="330"/>
    <x:x v="0"/>
    <x:s v="Monthly"/>
    <x:s v="Education"/>
    <x:s v="51-200"/>
    <x:n v="30"/>
    <x:n v="422.65"/>
    <x:s v="Social Media"/>
    <x:s v="North America"/>
    <x:d v="2025-06-13T00:00:00"/>
    <x:x v="1"/>
    <x:m/>
    <x:s v=""/>
    <x:n v="11"/>
    <x:n v="5"/>
    <x:n v="60"/>
    <x:s v="No"/>
  </x:r>
  <x:r>
    <x:x v="331"/>
    <x:x v="0"/>
    <x:s v="Monthly"/>
    <x:s v="Finance"/>
    <x:s v="51-200"/>
    <x:n v="77"/>
    <x:n v="979.6"/>
    <x:s v="Paid Ads"/>
    <x:s v="North America"/>
    <x:d v="2025-03-08T00:00:00"/>
    <x:x v="0"/>
    <x:d v="2025-06-10T00:00:00"/>
    <x:s v="Budget Cuts"/>
    <x:n v="3"/>
    <x:n v="2"/>
    <x:n v="40"/>
    <x:s v="No"/>
  </x:r>
  <x:r>
    <x:x v="332"/>
    <x:x v="0"/>
    <x:s v="Annual"/>
    <x:s v="Education"/>
    <x:s v="51-200"/>
    <x:n v="18"/>
    <x:n v="238.38"/>
    <x:s v="Partner"/>
    <x:s v="Asia Pacific"/>
    <x:d v="2024-04-05T00:00:00"/>
    <x:x v="0"/>
    <x:d v="2025-10-06T00:00:00"/>
    <x:s v="Missing Features"/>
    <x:n v="14"/>
    <x:n v="1"/>
    <x:n v="33"/>
    <x:s v="No"/>
  </x:r>
  <x:r>
    <x:x v="333"/>
    <x:x v="1"/>
    <x:s v="Annual"/>
    <x:s v="Finance"/>
    <x:s v="201-500"/>
    <x:n v="85"/>
    <x:n v="335.24"/>
    <x:s v="Organic Search"/>
    <x:s v="Europe"/>
    <x:d v="2023-10-13T00:00:00"/>
    <x:x v="0"/>
    <x:d v="2024-01-22T00:00:00"/>
    <x:s v="Budget Cuts"/>
    <x:n v="8"/>
    <x:n v="1"/>
    <x:n v="35"/>
    <x:s v="No"/>
  </x:r>
  <x:r>
    <x:x v="334"/>
    <x:x v="0"/>
    <x:s v="Monthly"/>
    <x:s v="Consulting"/>
    <x:s v="11-50"/>
    <x:n v="18"/>
    <x:n v="280.45"/>
    <x:s v="Social Media"/>
    <x:s v="North America"/>
    <x:d v="2022-09-07T00:00:00"/>
    <x:x v="0"/>
    <x:d v="2024-03-13T00:00:00"/>
    <x:s v="No Longer Needed"/>
    <x:n v="10"/>
    <x:n v="1"/>
    <x:n v="27"/>
    <x:s v="No"/>
  </x:r>
  <x:r>
    <x:x v="335"/>
    <x:x v="2"/>
    <x:s v="Annual"/>
    <x:s v="Education"/>
    <x:s v="1-10"/>
    <x:n v="5"/>
    <x:n v="270.64"/>
    <x:s v="Organic Search"/>
    <x:s v="Europe"/>
    <x:d v="2023-07-14T00:00:00"/>
    <x:x v="0"/>
    <x:d v="2025-02-15T00:00:00"/>
    <x:s v="Company Closed"/>
    <x:n v="7"/>
    <x:n v="1"/>
    <x:n v="36"/>
    <x:s v="No"/>
  </x:r>
  <x:r>
    <x:x v="336"/>
    <x:x v="1"/>
    <x:s v="Monthly"/>
    <x:s v="Media"/>
    <x:s v="51-200"/>
    <x:n v="65"/>
    <x:n v="307.4"/>
    <x:s v="Paid Ads"/>
    <x:s v="Latin America"/>
    <x:d v="2022-11-22T00:00:00"/>
    <x:x v="0"/>
    <x:d v="2023-03-19T00:00:00"/>
    <x:s v="Price Too High"/>
    <x:n v="3"/>
    <x:n v="1"/>
    <x:n v="45"/>
    <x:s v="No"/>
  </x:r>
  <x:r>
    <x:x v="337"/>
    <x:x v="1"/>
    <x:s v="Annual"/>
    <x:s v="Technology"/>
    <x:s v="11-50"/>
    <x:n v="26"/>
    <x:n v="117.09"/>
    <x:s v="Partner"/>
    <x:s v="North America"/>
    <x:d v="2024-01-29T00:00:00"/>
    <x:x v="1"/>
    <x:m/>
    <x:s v=""/>
    <x:n v="4"/>
    <x:n v="8"/>
    <x:n v="42"/>
    <x:s v="Yes"/>
  </x:r>
  <x:r>
    <x:x v="338"/>
    <x:x v="1"/>
    <x:s v="Monthly"/>
    <x:s v="Media"/>
    <x:s v="1-10"/>
    <x:n v="4"/>
    <x:n v="42.05"/>
    <x:s v="Organic Search"/>
    <x:s v="North America"/>
    <x:d v="2024-05-28T00:00:00"/>
    <x:x v="0"/>
    <x:d v="2025-01-20T00:00:00"/>
    <x:s v="Price Too High"/>
    <x:n v="0"/>
    <x:n v="4"/>
    <x:n v="13"/>
    <x:s v="No"/>
  </x:r>
  <x:r>
    <x:x v="339"/>
    <x:x v="1"/>
    <x:s v="Annual"/>
    <x:s v="Education"/>
    <x:s v="201-500"/>
    <x:n v="140"/>
    <x:n v="538.6"/>
    <x:s v="Organic Search"/>
    <x:s v="Europe"/>
    <x:d v="2022-06-30T00:00:00"/>
    <x:x v="0"/>
    <x:d v="2022-10-01T00:00:00"/>
    <x:s v="Budget Cuts"/>
    <x:n v="14"/>
    <x:n v="2"/>
    <x:n v="43"/>
    <x:s v="No"/>
  </x:r>
  <x:r>
    <x:x v="340"/>
    <x:x v="1"/>
    <x:s v="Monthly"/>
    <x:s v="Real Estate"/>
    <x:s v="201-500"/>
    <x:n v="41"/>
    <x:n v="203"/>
    <x:s v="Paid Ads"/>
    <x:s v="North America"/>
    <x:d v="2025-03-19T00:00:00"/>
    <x:x v="0"/>
    <x:d v="2025-06-24T00:00:00"/>
    <x:s v="No Longer Needed"/>
    <x:n v="12"/>
    <x:n v="1"/>
    <x:n v="40"/>
    <x:s v="No"/>
  </x:r>
  <x:r>
    <x:x v="341"/>
    <x:x v="1"/>
    <x:s v="Annual"/>
    <x:s v="Retail"/>
    <x:s v="201-500"/>
    <x:n v="78"/>
    <x:n v="309.36"/>
    <x:s v="Paid Ads"/>
    <x:s v="Europe"/>
    <x:d v="2024-08-15T00:00:00"/>
    <x:x v="0"/>
    <x:d v="2025-08-15T00:00:00"/>
    <x:s v="Switched Competitor"/>
    <x:n v="3"/>
    <x:n v="1"/>
    <x:n v="35"/>
    <x:s v="No"/>
  </x:r>
  <x:r>
    <x:x v="342"/>
    <x:x v="2"/>
    <x:s v="Annual"/>
    <x:s v="Legal"/>
    <x:s v="11-50"/>
    <x:n v="12"/>
    <x:n v="448.25"/>
    <x:s v="Referral"/>
    <x:s v="Latin America"/>
    <x:d v="2023-05-23T00:00:00"/>
    <x:x v="0"/>
    <x:d v="2025-04-18T00:00:00"/>
    <x:s v="No Longer Needed"/>
    <x:n v="12"/>
    <x:n v="6"/>
    <x:n v="19"/>
    <x:s v="No"/>
  </x:r>
  <x:r>
    <x:x v="343"/>
    <x:x v="0"/>
    <x:s v="Monthly"/>
    <x:s v="Retail"/>
    <x:s v="11-50"/>
    <x:n v="32"/>
    <x:n v="446.35"/>
    <x:s v="Referral"/>
    <x:s v="Asia Pacific"/>
    <x:d v="2022-05-22T00:00:00"/>
    <x:x v="0"/>
    <x:d v="2023-06-15T00:00:00"/>
    <x:s v="Company Closed"/>
    <x:n v="3"/>
    <x:n v="3"/>
    <x:n v="29"/>
    <x:s v="No"/>
  </x:r>
  <x:r>
    <x:x v="344"/>
    <x:x v="2"/>
    <x:s v="Annual"/>
    <x:s v="Education"/>
    <x:s v="1-10"/>
    <x:n v="4"/>
    <x:n v="245.27"/>
    <x:s v="Paid Ads"/>
    <x:s v="Europe"/>
    <x:d v="2022-09-26T00:00:00"/>
    <x:x v="1"/>
    <x:m/>
    <x:s v=""/>
    <x:n v="4"/>
    <x:n v="2"/>
    <x:n v="93"/>
    <x:s v="No"/>
  </x:r>
  <x:r>
    <x:x v="345"/>
    <x:x v="2"/>
    <x:s v="Monthly"/>
    <x:s v="Education"/>
    <x:s v="201-500"/>
    <x:n v="126"/>
    <x:n v="3930.25"/>
    <x:s v="Paid Ads"/>
    <x:s v="North America"/>
    <x:d v="2025-11-18T00:00:00"/>
    <x:x v="1"/>
    <x:m/>
    <x:s v=""/>
    <x:n v="9"/>
    <x:n v="8"/>
    <x:n v="20"/>
    <x:s v="No"/>
  </x:r>
  <x:r>
    <x:x v="346"/>
    <x:x v="0"/>
    <x:s v="Annual"/>
    <x:s v="Media"/>
    <x:s v="51-200"/>
    <x:n v="17"/>
    <x:n v="228.31"/>
    <x:s v="Organic Search"/>
    <x:s v="Europe"/>
    <x:d v="2025-09-25T00:00:00"/>
    <x:x v="1"/>
    <x:m/>
    <x:s v=""/>
    <x:n v="5"/>
    <x:n v="4"/>
    <x:n v="21"/>
    <x:s v="No"/>
  </x:r>
  <x:r>
    <x:x v="347"/>
    <x:x v="2"/>
    <x:s v="Monthly"/>
    <x:s v="Technology"/>
    <x:s v="51-200"/>
    <x:n v="73"/>
    <x:n v="2348.2"/>
    <x:s v="Organic Search"/>
    <x:s v="Asia Pacific"/>
    <x:d v="2025-06-05T00:00:00"/>
    <x:x v="1"/>
    <x:m/>
    <x:s v=""/>
    <x:n v="9"/>
    <x:n v="5"/>
    <x:n v="74"/>
    <x:s v="No"/>
  </x:r>
  <x:r>
    <x:x v="348"/>
    <x:x v="2"/>
    <x:s v="Annual"/>
    <x:s v="Legal"/>
    <x:s v="11-50"/>
    <x:n v="29"/>
    <x:n v="879.58"/>
    <x:s v="Paid Ads"/>
    <x:s v="North America"/>
    <x:d v="2024-06-14T00:00:00"/>
    <x:x v="1"/>
    <x:m/>
    <x:s v=""/>
    <x:n v="7"/>
    <x:n v="10"/>
    <x:n v="33"/>
    <x:s v="No"/>
  </x:r>
  <x:r>
    <x:x v="349"/>
    <x:x v="0"/>
    <x:s v="Monthly"/>
    <x:s v="Media"/>
    <x:s v="51-200"/>
    <x:n v="59"/>
    <x:n v="766.3"/>
    <x:s v="Social Media"/>
    <x:s v="North America"/>
    <x:d v="2022-02-27T00:00:00"/>
    <x:x v="0"/>
    <x:d v="2022-10-03T00:00:00"/>
    <x:s v="Switched Competitor"/>
    <x:n v="6"/>
    <x:n v="2"/>
    <x:n v="21"/>
    <x:s v="No"/>
  </x:r>
  <x:r>
    <x:x v="350"/>
    <x:x v="1"/>
    <x:s v="Annual"/>
    <x:s v="Retail"/>
    <x:s v="1-10"/>
    <x:n v="4"/>
    <x:n v="35.74"/>
    <x:s v="Paid Ads"/>
    <x:s v="North America"/>
    <x:d v="2024-07-21T00:00:00"/>
    <x:x v="0"/>
    <x:d v="2024-12-03T00:00:00"/>
    <x:s v="Missing Features"/>
    <x:n v="8"/>
    <x:n v="6"/>
    <x:n v="47"/>
    <x:s v="No"/>
  </x:r>
  <x:r>
    <x:x v="351"/>
    <x:x v="1"/>
    <x:s v="Monthly"/>
    <x:s v="Education"/>
    <x:s v="500+"/>
    <x:n v="130"/>
    <x:n v="590.15"/>
    <x:s v="Partner"/>
    <x:s v="Europe"/>
    <x:d v="2023-07-18T00:00:00"/>
    <x:x v="0"/>
    <x:d v="2024-05-11T00:00:00"/>
    <x:s v="Budget Cuts"/>
    <x:n v="5"/>
    <x:n v="4"/>
    <x:n v="23"/>
    <x:s v="No"/>
  </x:r>
  <x:r>
    <x:x v="352"/>
    <x:x v="2"/>
    <x:s v="Annual"/>
    <x:s v="Healthcare"/>
    <x:s v="201-500"/>
    <x:n v="61"/>
    <x:n v="1691.5"/>
    <x:s v="Social Media"/>
    <x:s v="Europe"/>
    <x:d v="2025-04-02T00:00:00"/>
    <x:x v="0"/>
    <x:d v="2025-05-16T00:00:00"/>
    <x:s v="Missing Features"/>
    <x:n v="15"/>
    <x:n v="5"/>
    <x:n v="33"/>
    <x:s v="No"/>
  </x:r>
  <x:r>
    <x:x v="353"/>
    <x:x v="2"/>
    <x:s v="Annual"/>
    <x:s v="Finance"/>
    <x:s v="1-10"/>
    <x:n v="8"/>
    <x:n v="346.76"/>
    <x:s v="Partner"/>
    <x:s v="North America"/>
    <x:d v="2022-06-25T00:00:00"/>
    <x:x v="0"/>
    <x:d v="2024-12-29T00:00:00"/>
    <x:s v="Poor Support"/>
    <x:n v="10"/>
    <x:n v="6"/>
    <x:n v="30"/>
    <x:s v="No"/>
  </x:r>
  <x:r>
    <x:x v="354"/>
    <x:x v="1"/>
    <x:s v="Annual"/>
    <x:s v="Healthcare"/>
    <x:s v="51-200"/>
    <x:n v="43"/>
    <x:n v="179.94"/>
    <x:s v="Organic Search"/>
    <x:s v="North America"/>
    <x:d v="2024-10-27T00:00:00"/>
    <x:x v="1"/>
    <x:m/>
    <x:s v=""/>
    <x:n v="3"/>
    <x:n v="3"/>
    <x:n v="63"/>
    <x:s v="No"/>
  </x:r>
  <x:r>
    <x:x v="355"/>
    <x:x v="1"/>
    <x:s v="Annual"/>
    <x:s v="Media"/>
    <x:s v="11-50"/>
    <x:n v="6"/>
    <x:n v="43.14"/>
    <x:s v="Organic Search"/>
    <x:s v="North America"/>
    <x:d v="2022-09-13T00:00:00"/>
    <x:x v="0"/>
    <x:d v="2022-11-05T00:00:00"/>
    <x:s v="Poor Support"/>
    <x:n v="15"/>
    <x:n v="3"/>
    <x:n v="46"/>
    <x:s v="No"/>
  </x:r>
  <x:r>
    <x:x v="356"/>
    <x:x v="1"/>
    <x:s v="Annual"/>
    <x:s v="Healthcare"/>
    <x:s v="201-500"/>
    <x:n v="92"/>
    <x:n v="361.12"/>
    <x:s v="Organic Search"/>
    <x:s v="North America"/>
    <x:d v="2023-01-23T00:00:00"/>
    <x:x v="0"/>
    <x:d v="2023-06-03T00:00:00"/>
    <x:s v="Missing Features"/>
    <x:n v="13"/>
    <x:n v="1"/>
    <x:n v="38"/>
    <x:s v="No"/>
  </x:r>
  <x:r>
    <x:x v="357"/>
    <x:x v="1"/>
    <x:s v="Annual"/>
    <x:s v="Consulting"/>
    <x:s v="51-200"/>
    <x:n v="30"/>
    <x:n v="131.88"/>
    <x:s v="Referral"/>
    <x:s v="Europe"/>
    <x:d v="2025-02-24T00:00:00"/>
    <x:x v="1"/>
    <x:m/>
    <x:s v=""/>
    <x:n v="1"/>
    <x:n v="7"/>
    <x:n v="39"/>
    <x:s v="No"/>
  </x:r>
  <x:r>
    <x:x v="358"/>
    <x:x v="2"/>
    <x:s v="Monthly"/>
    <x:s v="Healthcare"/>
    <x:s v="201-500"/>
    <x:n v="118"/>
    <x:n v="3691.45"/>
    <x:s v="Direct Sales"/>
    <x:s v="Asia Pacific"/>
    <x:d v="2025-07-03T00:00:00"/>
    <x:x v="1"/>
    <x:m/>
    <x:s v=""/>
    <x:n v="10"/>
    <x:n v="5"/>
    <x:n v="87"/>
    <x:s v="No"/>
  </x:r>
  <x:r>
    <x:x v="359"/>
    <x:x v="1"/>
    <x:s v="Annual"/>
    <x:s v="Consulting"/>
    <x:s v="1-10"/>
    <x:n v="2"/>
    <x:n v="28.35"/>
    <x:s v="Social Media"/>
    <x:s v="Europe"/>
    <x:d v="2022-08-07T00:00:00"/>
    <x:x v="1"/>
    <x:m/>
    <x:s v=""/>
    <x:n v="11"/>
    <x:n v="6"/>
    <x:n v="20"/>
    <x:s v="No"/>
  </x:r>
  <x:r>
    <x:x v="360"/>
    <x:x v="0"/>
    <x:s v="Annual"/>
    <x:s v="Retail"/>
    <x:s v="1-10"/>
    <x:n v="7"/>
    <x:n v="127.59"/>
    <x:s v="Paid Ads"/>
    <x:s v="Europe"/>
    <x:d v="2024-06-08T00:00:00"/>
    <x:x v="1"/>
    <x:m/>
    <x:s v=""/>
    <x:n v="12"/>
    <x:n v="7"/>
    <x:n v="31"/>
    <x:s v="No"/>
  </x:r>
  <x:r>
    <x:x v="361"/>
    <x:x v="3"/>
    <x:s v="Monthly"/>
    <x:s v="Healthcare"/>
    <x:s v="51-200"/>
    <x:n v="59"/>
    <x:n v="4840.3"/>
    <x:s v="Organic Search"/>
    <x:s v="North America"/>
    <x:d v="2023-09-21T00:00:00"/>
    <x:x v="1"/>
    <x:m/>
    <x:s v=""/>
    <x:n v="0"/>
    <x:n v="3"/>
    <x:n v="90"/>
    <x:s v="No"/>
  </x:r>
  <x:r>
    <x:x v="362"/>
    <x:x v="3"/>
    <x:s v="Monthly"/>
    <x:s v="Technology"/>
    <x:s v="1-10"/>
    <x:n v="7"/>
    <x:n v="948.1"/>
    <x:s v="Social Media"/>
    <x:s v="North America"/>
    <x:d v="2024-03-06T00:00:00"/>
    <x:x v="1"/>
    <x:m/>
    <x:s v=""/>
    <x:n v="2"/>
    <x:n v="6"/>
    <x:n v="41"/>
    <x:s v="No"/>
  </x:r>
  <x:r>
    <x:x v="363"/>
    <x:x v="2"/>
    <x:s v="Monthly"/>
    <x:s v="Legal"/>
    <x:s v="11-50"/>
    <x:n v="17"/>
    <x:n v="676.6"/>
    <x:s v="Partner"/>
    <x:s v="North America"/>
    <x:d v="2022-04-05T00:00:00"/>
    <x:x v="0"/>
    <x:d v="2025-09-20T00:00:00"/>
    <x:s v="Price Too High"/>
    <x:n v="7"/>
    <x:n v="4"/>
    <x:n v="13"/>
    <x:s v="No"/>
  </x:r>
  <x:r>
    <x:x v="364"/>
    <x:x v="1"/>
    <x:s v="Monthly"/>
    <x:s v="Consulting"/>
    <x:s v="11-50"/>
    <x:n v="14"/>
    <x:n v="85.55"/>
    <x:s v="Partner"/>
    <x:s v="Latin America"/>
    <x:d v="2024-03-11T00:00:00"/>
    <x:x v="0"/>
    <x:d v="2024-06-07T00:00:00"/>
    <x:s v="Switched Competitor"/>
    <x:n v="9"/>
    <x:n v="2"/>
    <x:n v="14"/>
    <x:s v="No"/>
  </x:r>
  <x:r>
    <x:x v="365"/>
    <x:x v="0"/>
    <x:s v="Monthly"/>
    <x:s v="Education"/>
    <x:s v="51-200"/>
    <x:n v="52"/>
    <x:n v="683.35"/>
    <x:s v="Paid Ads"/>
    <x:s v="North America"/>
    <x:d v="2025-09-28T00:00:00"/>
    <x:x v="1"/>
    <x:m/>
    <x:s v=""/>
    <x:n v="11"/>
    <x:n v="8"/>
    <x:n v="17"/>
    <x:s v="No"/>
  </x:r>
  <x:r>
    <x:x v="366"/>
    <x:x v="1"/>
    <x:s v="Annual"/>
    <x:s v="Consulting"/>
    <x:s v="1-10"/>
    <x:n v="5"/>
    <x:n v="39.44"/>
    <x:s v="Referral"/>
    <x:s v="North America"/>
    <x:d v="2023-07-29T00:00:00"/>
    <x:x v="1"/>
    <x:m/>
    <x:s v=""/>
    <x:n v="1"/>
    <x:n v="3"/>
    <x:n v="80"/>
    <x:s v="No"/>
  </x:r>
  <x:r>
    <x:x v="367"/>
    <x:x v="0"/>
    <x:s v="Annual"/>
    <x:s v="Media"/>
    <x:s v="11-50"/>
    <x:n v="25"/>
    <x:n v="308.89"/>
    <x:s v="Partner"/>
    <x:s v="North America"/>
    <x:d v="2024-05-17T00:00:00"/>
    <x:x v="1"/>
    <x:m/>
    <x:s v=""/>
    <x:n v="3"/>
    <x:n v="6"/>
    <x:n v="92"/>
    <x:s v="No"/>
  </x:r>
  <x:r>
    <x:x v="368"/>
    <x:x v="3"/>
    <x:s v="Monthly"/>
    <x:s v="Retail"/>
    <x:s v="11-50"/>
    <x:n v="25"/>
    <x:n v="2295.4"/>
    <x:s v="Direct Sales"/>
    <x:s v="North America"/>
    <x:d v="2025-03-09T00:00:00"/>
    <x:x v="0"/>
    <x:d v="2025-04-28T00:00:00"/>
    <x:s v="Switched Competitor"/>
    <x:n v="9"/>
    <x:n v="6"/>
    <x:n v="37"/>
    <x:s v="No"/>
  </x:r>
  <x:r>
    <x:x v="369"/>
    <x:x v="1"/>
    <x:s v="Monthly"/>
    <x:s v="Real Estate"/>
    <x:s v="201-500"/>
    <x:n v="117"/>
    <x:n v="533.6"/>
    <x:s v="Organic Search"/>
    <x:s v="North America"/>
    <x:d v="2024-07-19T00:00:00"/>
    <x:x v="0"/>
    <x:d v="2025-04-28T00:00:00"/>
    <x:s v="Price Too High"/>
    <x:n v="8"/>
    <x:n v="6"/>
    <x:n v="10"/>
    <x:s v="No"/>
  </x:r>
  <x:r>
    <x:x v="370"/>
    <x:x v="1"/>
    <x:s v="Monthly"/>
    <x:s v="Consulting"/>
    <x:s v="51-200"/>
    <x:n v="39"/>
    <x:n v="194.3"/>
    <x:s v="Referral"/>
    <x:s v="Latin America"/>
    <x:d v="2024-03-01T00:00:00"/>
    <x:x v="0"/>
    <x:d v="2024-04-17T00:00:00"/>
    <x:s v="Price Too High"/>
    <x:n v="13"/>
    <x:n v="1"/>
    <x:n v="22"/>
    <x:s v="No"/>
  </x:r>
  <x:r>
    <x:x v="371"/>
    <x:x v="2"/>
    <x:s v="Monthly"/>
    <x:s v="Legal"/>
    <x:s v="11-50"/>
    <x:n v="29"/>
    <x:n v="1034.8"/>
    <x:s v="Paid Ads"/>
    <x:s v="Asia Pacific"/>
    <x:d v="2023-02-10T00:00:00"/>
    <x:x v="0"/>
    <x:d v="2025-10-14T00:00:00"/>
    <x:s v="Company Closed"/>
    <x:n v="12"/>
    <x:n v="1"/>
    <x:n v="34"/>
    <x:s v="No"/>
  </x:r>
  <x:r>
    <x:x v="372"/>
    <x:x v="2"/>
    <x:s v="Monthly"/>
    <x:s v="Finance"/>
    <x:s v="1-10"/>
    <x:n v="4"/>
    <x:n v="288.55"/>
    <x:s v="Partner"/>
    <x:s v="Europe"/>
    <x:d v="2025-10-29T00:00:00"/>
    <x:x v="1"/>
    <x:m/>
    <x:s v=""/>
    <x:n v="6"/>
    <x:n v="2"/>
    <x:n v="63"/>
    <x:s v="No"/>
  </x:r>
  <x:r>
    <x:x v="373"/>
    <x:x v="1"/>
    <x:s v="Monthly"/>
    <x:s v="Real Estate"/>
    <x:s v="201-500"/>
    <x:n v="139"/>
    <x:n v="629.3"/>
    <x:s v="Paid Ads"/>
    <x:s v="Asia Pacific"/>
    <x:d v="2022-01-08T00:00:00"/>
    <x:x v="0"/>
    <x:d v="2022-04-08T00:00:00"/>
    <x:s v="Missing Features"/>
    <x:n v="10"/>
    <x:n v="6"/>
    <x:n v="20"/>
    <x:s v="No"/>
  </x:r>
  <x:r>
    <x:x v="374"/>
    <x:x v="1"/>
    <x:s v="Annual"/>
    <x:s v="Legal"/>
    <x:s v="11-50"/>
    <x:n v="16"/>
    <x:n v="80.11"/>
    <x:s v="Organic Search"/>
    <x:s v="Europe"/>
    <x:d v="2022-05-12T00:00:00"/>
    <x:x v="0"/>
    <x:d v="2023-01-05T00:00:00"/>
    <x:s v="Missing Features"/>
    <x:n v="7"/>
    <x:n v="5"/>
    <x:n v="18"/>
    <x:s v="No"/>
  </x:r>
  <x:r>
    <x:x v="375"/>
    <x:x v="3"/>
    <x:s v="Annual"/>
    <x:s v="Healthcare"/>
    <x:s v="51-200"/>
    <x:n v="46"/>
    <x:n v="3287.16"/>
    <x:s v="Partner"/>
    <x:s v="North America"/>
    <x:d v="2023-03-09T00:00:00"/>
    <x:x v="0"/>
    <x:d v="2024-06-16T00:00:00"/>
    <x:s v="No Longer Needed"/>
    <x:n v="12"/>
    <x:n v="5"/>
    <x:n v="27"/>
    <x:s v="No"/>
  </x:r>
  <x:r>
    <x:x v="376"/>
    <x:x v="1"/>
    <x:s v="Monthly"/>
    <x:s v="Legal"/>
    <x:s v="11-50"/>
    <x:n v="26"/>
    <x:n v="137.75"/>
    <x:s v="Organic Search"/>
    <x:s v="Latin America"/>
    <x:d v="2023-09-22T00:00:00"/>
    <x:x v="0"/>
    <x:d v="2023-12-09T00:00:00"/>
    <x:s v="Poor Support"/>
    <x:n v="12"/>
    <x:n v="1"/>
    <x:n v="33"/>
    <x:s v="No"/>
  </x:r>
  <x:r>
    <x:x v="377"/>
    <x:x v="2"/>
    <x:s v="Monthly"/>
    <x:s v="Manufacturing"/>
    <x:s v="11-50"/>
    <x:n v="5"/>
    <x:n v="318.4"/>
    <x:s v="Organic Search"/>
    <x:s v="Asia Pacific"/>
    <x:d v="2022-05-11T00:00:00"/>
    <x:x v="0"/>
    <x:d v="2023-11-07T00:00:00"/>
    <x:s v="Poor Support"/>
    <x:n v="10"/>
    <x:n v="6"/>
    <x:n v="31"/>
    <x:s v="No"/>
  </x:r>
  <x:r>
    <x:x v="378"/>
    <x:x v="1"/>
    <x:s v="Annual"/>
    <x:s v="Technology"/>
    <x:s v="201-500"/>
    <x:n v="62"/>
    <x:n v="250.2"/>
    <x:s v="Social Media"/>
    <x:s v="Asia Pacific"/>
    <x:d v="2023-07-22T00:00:00"/>
    <x:x v="0"/>
    <x:d v="2023-08-24T00:00:00"/>
    <x:s v="Missing Features"/>
    <x:n v="13"/>
    <x:n v="6"/>
    <x:n v="10"/>
    <x:s v="No"/>
  </x:r>
  <x:r>
    <x:x v="379"/>
    <x:x v="2"/>
    <x:s v="Annual"/>
    <x:s v="Manufacturing"/>
    <x:s v="201-500"/>
    <x:n v="150"/>
    <x:n v="3949.65"/>
    <x:s v="Organic Search"/>
    <x:s v="North America"/>
    <x:d v="2024-04-07T00:00:00"/>
    <x:x v="1"/>
    <x:m/>
    <x:s v=""/>
    <x:n v="7"/>
    <x:n v="9"/>
    <x:n v="67"/>
    <x:s v="No"/>
  </x:r>
  <x:r>
    <x:x v="380"/>
    <x:x v="1"/>
    <x:s v="Annual"/>
    <x:s v="Real Estate"/>
    <x:s v="201-500"/>
    <x:n v="126"/>
    <x:n v="486.84"/>
    <x:s v="Direct Sales"/>
    <x:s v="Asia Pacific"/>
    <x:d v="2022-08-26T00:00:00"/>
    <x:x v="1"/>
    <x:m/>
    <x:s v=""/>
    <x:n v="11"/>
    <x:n v="5"/>
    <x:n v="74"/>
    <x:s v="No"/>
  </x:r>
  <x:r>
    <x:x v="381"/>
    <x:x v="1"/>
    <x:s v="Monthly"/>
    <x:s v="Retail"/>
    <x:s v="11-50"/>
    <x:n v="24"/>
    <x:n v="129.05"/>
    <x:s v="Organic Search"/>
    <x:s v="North America"/>
    <x:d v="2023-01-14T00:00:00"/>
    <x:x v="0"/>
    <x:d v="2025-09-22T00:00:00"/>
    <x:s v="Price Too High"/>
    <x:n v="11"/>
    <x:n v="1"/>
    <x:n v="16"/>
    <x:s v="No"/>
  </x:r>
  <x:r>
    <x:x v="382"/>
    <x:x v="0"/>
    <x:s v="Annual"/>
    <x:s v="Technology"/>
    <x:s v="1-10"/>
    <x:n v="4"/>
    <x:n v="97.37"/>
    <x:s v="Referral"/>
    <x:s v="North America"/>
    <x:d v="2025-02-27T00:00:00"/>
    <x:x v="0"/>
    <x:d v="2025-11-09T00:00:00"/>
    <x:s v="Switched Competitor"/>
    <x:n v="0"/>
    <x:n v="4"/>
    <x:n v="29"/>
    <x:s v="No"/>
  </x:r>
  <x:r>
    <x:x v="383"/>
    <x:x v="3"/>
    <x:s v="Monthly"/>
    <x:s v="Consulting"/>
    <x:s v="201-500"/>
    <x:n v="141"/>
    <x:n v="10978"/>
    <x:s v="Paid Ads"/>
    <x:s v="Europe"/>
    <x:d v="2022-09-24T00:00:00"/>
    <x:x v="1"/>
    <x:m/>
    <x:s v=""/>
    <x:n v="6"/>
    <x:n v="2"/>
    <x:n v="49"/>
    <x:s v="No"/>
  </x:r>
  <x:r>
    <x:x v="384"/>
    <x:x v="1"/>
    <x:s v="Annual"/>
    <x:s v="Retail"/>
    <x:s v="201-500"/>
    <x:n v="142"/>
    <x:n v="546"/>
    <x:s v="Paid Ads"/>
    <x:s v="North America"/>
    <x:d v="2023-09-02T00:00:00"/>
    <x:x v="0"/>
    <x:d v="2023-09-30T00:00:00"/>
    <x:s v="No Longer Needed"/>
    <x:n v="13"/>
    <x:n v="2"/>
    <x:n v="31"/>
    <x:s v="No"/>
  </x:r>
  <x:r>
    <x:x v="385"/>
    <x:x v="0"/>
    <x:s v="Monthly"/>
    <x:s v="Real Estate"/>
    <x:s v="1-10"/>
    <x:n v="4"/>
    <x:n v="114.55"/>
    <x:s v="Referral"/>
    <x:s v="Latin America"/>
    <x:d v="2025-08-20T00:00:00"/>
    <x:x v="0"/>
    <x:d v="2025-12-13T00:00:00"/>
    <x:s v="Budget Cuts"/>
    <x:n v="7"/>
    <x:n v="1"/>
    <x:n v="24"/>
    <x:s v="No"/>
  </x:r>
  <x:r>
    <x:x v="386"/>
    <x:x v="1"/>
    <x:s v="Monthly"/>
    <x:s v="Legal"/>
    <x:s v="1-10"/>
    <x:n v="3"/>
    <x:n v="37.7"/>
    <x:s v="Referral"/>
    <x:s v="North America"/>
    <x:d v="2023-07-30T00:00:00"/>
    <x:x v="0"/>
    <x:d v="2023-12-10T00:00:00"/>
    <x:s v="Price Too High"/>
    <x:n v="11"/>
    <x:n v="1"/>
    <x:n v="46"/>
    <x:s v="No"/>
  </x:r>
  <x:r>
    <x:x v="387"/>
    <x:x v="0"/>
    <x:s v="Annual"/>
    <x:s v="Consulting"/>
    <x:s v="11-50"/>
    <x:n v="31"/>
    <x:n v="369.33"/>
    <x:s v="Partner"/>
    <x:s v="Asia Pacific"/>
    <x:d v="2023-05-25T00:00:00"/>
    <x:x v="1"/>
    <x:m/>
    <x:s v=""/>
    <x:n v="11"/>
    <x:n v="4"/>
    <x:n v="66"/>
    <x:s v="No"/>
  </x:r>
  <x:r>
    <x:x v="388"/>
    <x:x v="0"/>
    <x:s v="Annual"/>
    <x:s v="Media"/>
    <x:s v="201-500"/>
    <x:n v="94"/>
    <x:n v="1003.89"/>
    <x:s v="Referral"/>
    <x:s v="Latin America"/>
    <x:d v="2024-06-27T00:00:00"/>
    <x:x v="1"/>
    <x:m/>
    <x:s v=""/>
    <x:n v="7"/>
    <x:n v="7"/>
    <x:n v="62"/>
    <x:s v="No"/>
  </x:r>
  <x:r>
    <x:x v="389"/>
    <x:x v="0"/>
    <x:s v="Monthly"/>
    <x:s v="Manufacturing"/>
    <x:s v="201-500"/>
    <x:n v="38"/>
    <x:n v="517.45"/>
    <x:s v="Paid Ads"/>
    <x:s v="North America"/>
    <x:d v="2023-05-13T00:00:00"/>
    <x:x v="0"/>
    <x:d v="2024-07-27T00:00:00"/>
    <x:s v="Poor Support"/>
    <x:n v="4"/>
    <x:n v="4"/>
    <x:n v="44"/>
    <x:s v="No"/>
  </x:r>
  <x:r>
    <x:x v="390"/>
    <x:x v="1"/>
    <x:s v="Annual"/>
    <x:s v="Manufacturing"/>
    <x:s v="1-10"/>
    <x:n v="8"/>
    <x:n v="50.53"/>
    <x:s v="Paid Ads"/>
    <x:s v="Europe"/>
    <x:d v="2022-10-31T00:00:00"/>
    <x:x v="0"/>
    <x:d v="2024-06-10T00:00:00"/>
    <x:s v="No Longer Needed"/>
    <x:n v="2"/>
    <x:n v="6"/>
    <x:n v="17"/>
    <x:s v="No"/>
  </x:r>
  <x:r>
    <x:x v="391"/>
    <x:x v="1"/>
    <x:s v="Monthly"/>
    <x:s v="Media"/>
    <x:s v="11-50"/>
    <x:n v="19"/>
    <x:n v="107.3"/>
    <x:s v="Paid Ads"/>
    <x:s v="North America"/>
    <x:d v="2024-03-10T00:00:00"/>
    <x:x v="0"/>
    <x:d v="2024-05-06T00:00:00"/>
    <x:s v="Missing Features"/>
    <x:n v="9"/>
    <x:n v="5"/>
    <x:n v="18"/>
    <x:s v="No"/>
  </x:r>
  <x:r>
    <x:x v="392"/>
    <x:x v="0"/>
    <x:s v="Monthly"/>
    <x:s v="Media"/>
    <x:s v="51-200"/>
    <x:n v="39"/>
    <x:n v="529.3"/>
    <x:s v="Direct Sales"/>
    <x:s v="North America"/>
    <x:d v="2025-02-13T00:00:00"/>
    <x:x v="1"/>
    <x:m/>
    <x:s v=""/>
    <x:n v="1"/>
    <x:n v="10"/>
    <x:n v="49"/>
    <x:s v="No"/>
  </x:r>
  <x:r>
    <x:x v="393"/>
    <x:x v="0"/>
    <x:s v="Annual"/>
    <x:s v="Real Estate"/>
    <x:s v="11-50"/>
    <x:n v="19"/>
    <x:n v="248.46"/>
    <x:s v="Organic Search"/>
    <x:s v="North America"/>
    <x:d v="2024-03-28T00:00:00"/>
    <x:x v="1"/>
    <x:m/>
    <x:s v=""/>
    <x:n v="5"/>
    <x:n v="6"/>
    <x:n v="23"/>
    <x:s v="No"/>
  </x:r>
  <x:r>
    <x:x v="394"/>
    <x:x v="2"/>
    <x:s v="Monthly"/>
    <x:s v="Finance"/>
    <x:s v="1-10"/>
    <x:n v="4"/>
    <x:n v="288.55"/>
    <x:s v="Organic Search"/>
    <x:s v="Europe"/>
    <x:d v="2024-03-12T00:00:00"/>
    <x:x v="1"/>
    <x:m/>
    <x:s v=""/>
    <x:n v="0"/>
    <x:n v="4"/>
    <x:n v="39"/>
    <x:s v="No"/>
  </x:r>
  <x:r>
    <x:x v="395"/>
    <x:x v="0"/>
    <x:s v="Monthly"/>
    <x:s v="Education"/>
    <x:s v="1-10"/>
    <x:n v="7"/>
    <x:n v="150.1"/>
    <x:s v="Referral"/>
    <x:s v="Europe"/>
    <x:d v="2023-10-18T00:00:00"/>
    <x:x v="1"/>
    <x:m/>
    <x:s v=""/>
    <x:n v="3"/>
    <x:n v="7"/>
    <x:n v="73"/>
    <x:s v="No"/>
  </x:r>
  <x:r>
    <x:x v="396"/>
    <x:x v="1"/>
    <x:s v="Annual"/>
    <x:s v="Real Estate"/>
    <x:s v="11-50"/>
    <x:n v="5"/>
    <x:n v="39.44"/>
    <x:s v="Organic Search"/>
    <x:s v="Europe"/>
    <x:d v="2024-08-14T00:00:00"/>
    <x:x v="0"/>
    <x:d v="2024-10-27T00:00:00"/>
    <x:s v="Company Closed"/>
    <x:n v="2"/>
    <x:n v="1"/>
    <x:n v="39"/>
    <x:s v="No"/>
  </x:r>
  <x:r>
    <x:x v="397"/>
    <x:x v="2"/>
    <x:s v="Annual"/>
    <x:s v="Finance"/>
    <x:s v="500+"/>
    <x:n v="252"/>
    <x:n v="6537.65"/>
    <x:s v="Organic Search"/>
    <x:s v="North America"/>
    <x:d v="2023-04-28T00:00:00"/>
    <x:x v="0"/>
    <x:d v="2023-05-22T00:00:00"/>
    <x:s v="Price Too High"/>
    <x:n v="9"/>
    <x:n v="6"/>
    <x:n v="44"/>
    <x:s v="No"/>
  </x:r>
  <x:r>
    <x:x v="398"/>
    <x:x v="2"/>
    <x:s v="Annual"/>
    <x:s v="Real Estate"/>
    <x:s v="201-500"/>
    <x:n v="86"/>
    <x:n v="2325.81"/>
    <x:s v="Paid Ads"/>
    <x:s v="North America"/>
    <x:d v="2023-10-10T00:00:00"/>
    <x:x v="0"/>
    <x:d v="2025-11-23T00:00:00"/>
    <x:s v="Switched Competitor"/>
    <x:n v="0"/>
    <x:n v="2"/>
    <x:n v="11"/>
    <x:s v="No"/>
  </x:r>
  <x:r>
    <x:x v="399"/>
    <x:x v="1"/>
    <x:s v="Annual"/>
    <x:s v="Education"/>
    <x:s v="1-10"/>
    <x:n v="5"/>
    <x:n v="39.44"/>
    <x:s v="Partner"/>
    <x:s v="North America"/>
    <x:d v="2022-07-29T00:00:00"/>
    <x:x v="0"/>
    <x:d v="2024-07-19T00:00:00"/>
    <x:s v="Budget Cuts"/>
    <x:n v="3"/>
    <x:n v="1"/>
    <x:n v="34"/>
    <x:s v="No"/>
  </x:r>
  <x:r>
    <x:x v="400"/>
    <x:x v="2"/>
    <x:s v="Annual"/>
    <x:s v="Healthcare"/>
    <x:s v="1-10"/>
    <x:n v="7"/>
    <x:n v="321.38"/>
    <x:s v="Organic Search"/>
    <x:s v="North America"/>
    <x:d v="2024-11-06T00:00:00"/>
    <x:x v="1"/>
    <x:m/>
    <x:s v=""/>
    <x:n v="9"/>
    <x:n v="9"/>
    <x:n v="30"/>
    <x:s v="No"/>
  </x:r>
  <x:r>
    <x:x v="401"/>
    <x:x v="0"/>
    <x:s v="Annual"/>
    <x:s v="Media"/>
    <x:s v="51-200"/>
    <x:n v="34"/>
    <x:n v="399.54"/>
    <x:s v="Referral"/>
    <x:s v="Europe"/>
    <x:d v="2022-04-04T00:00:00"/>
    <x:x v="0"/>
    <x:d v="2024-08-24T00:00:00"/>
    <x:s v="Company Closed"/>
    <x:n v="14"/>
    <x:n v="1"/>
    <x:n v="34"/>
    <x:s v="No"/>
  </x:r>
  <x:r>
    <x:x v="402"/>
    <x:x v="2"/>
    <x:s v="Monthly"/>
    <x:s v="Consulting"/>
    <x:s v="1-10"/>
    <x:n v="8"/>
    <x:n v="407.95"/>
    <x:s v="Organic Search"/>
    <x:s v="North America"/>
    <x:d v="2023-01-22T00:00:00"/>
    <x:x v="0"/>
    <x:d v="2024-08-27T00:00:00"/>
    <x:s v="Poor Support"/>
    <x:n v="13"/>
    <x:n v="5"/>
    <x:n v="25"/>
    <x:s v="No"/>
  </x:r>
  <x:r>
    <x:x v="403"/>
    <x:x v="2"/>
    <x:s v="Monthly"/>
    <x:s v="Healthcare"/>
    <x:s v="51-200"/>
    <x:n v="43"/>
    <x:n v="1452.7"/>
    <x:s v="Partner"/>
    <x:s v="North America"/>
    <x:d v="2025-09-25T00:00:00"/>
    <x:x v="1"/>
    <x:m/>
    <x:s v=""/>
    <x:n v="4"/>
    <x:n v="5"/>
    <x:n v="79"/>
    <x:s v="No"/>
  </x:r>
  <x:r>
    <x:x v="404"/>
    <x:x v="2"/>
    <x:s v="Monthly"/>
    <x:s v="Manufacturing"/>
    <x:s v="11-50"/>
    <x:n v="7"/>
    <x:n v="378.1"/>
    <x:s v="Paid Ads"/>
    <x:s v="North America"/>
    <x:d v="2025-02-23T00:00:00"/>
    <x:x v="1"/>
    <x:m/>
    <x:s v=""/>
    <x:n v="11"/>
    <x:n v="1"/>
    <x:n v="29"/>
    <x:s v="Yes"/>
  </x:r>
  <x:r>
    <x:x v="405"/>
    <x:x v="2"/>
    <x:s v="Monthly"/>
    <x:s v="Retail"/>
    <x:s v="51-200"/>
    <x:n v="29"/>
    <x:n v="1034.8"/>
    <x:s v="Direct Sales"/>
    <x:s v="North America"/>
    <x:d v="2023-02-22T00:00:00"/>
    <x:x v="0"/>
    <x:d v="2025-09-29T00:00:00"/>
    <x:s v="Missing Features"/>
    <x:n v="14"/>
    <x:n v="4"/>
    <x:n v="41"/>
    <x:s v="No"/>
  </x:r>
  <x:r>
    <x:x v="406"/>
    <x:x v="0"/>
    <x:s v="Annual"/>
    <x:s v="Consulting"/>
    <x:s v="500+"/>
    <x:n v="115"/>
    <x:n v="1215.41"/>
    <x:s v="Referral"/>
    <x:s v="Europe"/>
    <x:d v="2022-09-12T00:00:00"/>
    <x:x v="0"/>
    <x:d v="2023-04-03T00:00:00"/>
    <x:s v="Missing Features"/>
    <x:n v="7"/>
    <x:n v="4"/>
    <x:n v="48"/>
    <x:s v="No"/>
  </x:r>
  <x:r>
    <x:x v="407"/>
    <x:x v="1"/>
    <x:s v="Monthly"/>
    <x:s v="Finance"/>
    <x:s v="51-200"/>
    <x:n v="75"/>
    <x:n v="350.9"/>
    <x:s v="Paid Ads"/>
    <x:s v="North America"/>
    <x:d v="2025-10-14T00:00:00"/>
    <x:x v="1"/>
    <x:m/>
    <x:s v=""/>
    <x:n v="10"/>
    <x:n v="8"/>
    <x:n v="92"/>
    <x:s v="No"/>
  </x:r>
  <x:r>
    <x:x v="408"/>
    <x:x v="1"/>
    <x:s v="Monthly"/>
    <x:s v="Manufacturing"/>
    <x:s v="1-10"/>
    <x:n v="8"/>
    <x:n v="59.45"/>
    <x:s v="Referral"/>
    <x:s v="North America"/>
    <x:d v="2025-04-01T00:00:00"/>
    <x:x v="0"/>
    <x:d v="2025-04-19T00:00:00"/>
    <x:s v="Poor Support"/>
    <x:n v="11"/>
    <x:n v="2"/>
    <x:n v="27"/>
    <x:s v="No"/>
  </x:r>
  <x:r>
    <x:x v="409"/>
    <x:x v="0"/>
    <x:s v="Monthly"/>
    <x:s v="Legal"/>
    <x:s v="201-500"/>
    <x:n v="125"/>
    <x:n v="1548.4"/>
    <x:s v="Referral"/>
    <x:s v="North America"/>
    <x:d v="2022-03-17T00:00:00"/>
    <x:x v="0"/>
    <x:d v="2023-06-19T00:00:00"/>
    <x:s v="Price Too High"/>
    <x:n v="14"/>
    <x:n v="4"/>
    <x:n v="12"/>
    <x:s v="No"/>
  </x:r>
  <x:r>
    <x:x v="410"/>
    <x:x v="0"/>
    <x:s v="Monthly"/>
    <x:s v="Finance"/>
    <x:s v="201-500"/>
    <x:n v="92"/>
    <x:n v="1157.35"/>
    <x:s v="Paid Ads"/>
    <x:s v="Europe"/>
    <x:d v="2024-08-28T00:00:00"/>
    <x:x v="0"/>
    <x:d v="2025-10-02T00:00:00"/>
    <x:s v="Price Too High"/>
    <x:n v="13"/>
    <x:n v="1"/>
    <x:n v="18"/>
    <x:s v="No"/>
  </x:r>
  <x:r>
    <x:x v="411"/>
    <x:x v="0"/>
    <x:s v="Monthly"/>
    <x:s v="Healthcare"/>
    <x:s v="51-200"/>
    <x:n v="45"/>
    <x:n v="600.4"/>
    <x:s v="Paid Ads"/>
    <x:s v="North America"/>
    <x:d v="2022-11-25T00:00:00"/>
    <x:x v="0"/>
    <x:d v="2023-05-25T00:00:00"/>
    <x:s v="No Longer Needed"/>
    <x:n v="8"/>
    <x:n v="4"/>
    <x:n v="24"/>
    <x:s v="No"/>
  </x:r>
  <x:r>
    <x:x v="412"/>
    <x:x v="2"/>
    <x:s v="Annual"/>
    <x:s v="Real Estate"/>
    <x:s v="201-500"/>
    <x:n v="49"/>
    <x:n v="1387.03"/>
    <x:s v="Partner"/>
    <x:s v="Asia Pacific"/>
    <x:d v="2022-10-13T00:00:00"/>
    <x:x v="1"/>
    <x:m/>
    <x:s v=""/>
    <x:n v="0"/>
    <x:n v="9"/>
    <x:n v="95"/>
    <x:s v="No"/>
  </x:r>
  <x:r>
    <x:x v="413"/>
    <x:x v="2"/>
    <x:s v="Monthly"/>
    <x:s v="Real Estate"/>
    <x:s v="201-500"/>
    <x:n v="137"/>
    <x:n v="4258.6"/>
    <x:s v="Referral"/>
    <x:s v="Asia Pacific"/>
    <x:d v="2023-07-23T00:00:00"/>
    <x:x v="0"/>
    <x:d v="2024-08-12T00:00:00"/>
    <x:s v="Missing Features"/>
    <x:n v="15"/>
    <x:n v="1"/>
    <x:n v="25"/>
    <x:s v="No"/>
  </x:r>
  <x:r>
    <x:x v="414"/>
    <x:x v="1"/>
    <x:s v="Monthly"/>
    <x:s v="Retail"/>
    <x:s v="11-50"/>
    <x:n v="13"/>
    <x:n v="81.2"/>
    <x:s v="Social Media"/>
    <x:s v="Europe"/>
    <x:d v="2024-09-08T00:00:00"/>
    <x:x v="0"/>
    <x:d v="2024-10-15T00:00:00"/>
    <x:s v="Switched Competitor"/>
    <x:n v="7"/>
    <x:n v="3"/>
    <x:n v="45"/>
    <x:s v="No"/>
  </x:r>
  <x:r>
    <x:x v="415"/>
    <x:x v="2"/>
    <x:s v="Annual"/>
    <x:s v="Manufacturing"/>
    <x:s v="11-50"/>
    <x:n v="14"/>
    <x:n v="498.99"/>
    <x:s v="Social Media"/>
    <x:s v="Europe"/>
    <x:d v="2025-02-18T00:00:00"/>
    <x:x v="0"/>
    <x:d v="2025-05-18T00:00:00"/>
    <x:s v="Missing Features"/>
    <x:n v="13"/>
    <x:n v="1"/>
    <x:n v="33"/>
    <x:s v="No"/>
  </x:r>
  <x:r>
    <x:x v="416"/>
    <x:x v="1"/>
    <x:s v="Annual"/>
    <x:s v="Real Estate"/>
    <x:s v="11-50"/>
    <x:n v="18"/>
    <x:n v="87.51"/>
    <x:s v="Organic Search"/>
    <x:s v="Latin America"/>
    <x:d v="2024-08-17T00:00:00"/>
    <x:x v="0"/>
    <x:d v="2024-10-30T00:00:00"/>
    <x:s v="Price Too High"/>
    <x:n v="10"/>
    <x:n v="1"/>
    <x:n v="36"/>
    <x:s v="No"/>
  </x:r>
  <x:r>
    <x:x v="417"/>
    <x:x v="1"/>
    <x:s v="Monthly"/>
    <x:s v="Consulting"/>
    <x:s v="1-10"/>
    <x:n v="2"/>
    <x:n v="33.35"/>
    <x:s v="Social Media"/>
    <x:s v="Latin America"/>
    <x:d v="2022-10-05T00:00:00"/>
    <x:x v="0"/>
    <x:d v="2023-07-03T00:00:00"/>
    <x:s v="Switched Competitor"/>
    <x:n v="11"/>
    <x:n v="1"/>
    <x:n v="37"/>
    <x:s v="No"/>
  </x:r>
  <x:r>
    <x:x v="418"/>
    <x:x v="0"/>
    <x:s v="Annual"/>
    <x:s v="Manufacturing"/>
    <x:s v="201-500"/>
    <x:n v="143"/>
    <x:n v="1497.45"/>
    <x:s v="Organic Search"/>
    <x:s v="Europe"/>
    <x:d v="2022-04-04T00:00:00"/>
    <x:x v="1"/>
    <x:m/>
    <x:s v=""/>
    <x:n v="2"/>
    <x:n v="9"/>
    <x:n v="29"/>
    <x:s v="Yes"/>
  </x:r>
  <x:r>
    <x:x v="419"/>
    <x:x v="0"/>
    <x:s v="Monthly"/>
    <x:s v="Retail"/>
    <x:s v="1-10"/>
    <x:n v="8"/>
    <x:n v="161.95"/>
    <x:s v="Referral"/>
    <x:s v="North America"/>
    <x:d v="2022-03-07T00:00:00"/>
    <x:x v="0"/>
    <x:d v="2024-02-27T00:00:00"/>
    <x:s v="Missing Features"/>
    <x:n v="7"/>
    <x:n v="2"/>
    <x:n v="10"/>
    <x:s v="No"/>
  </x:r>
  <x:r>
    <x:x v="420"/>
    <x:x v="0"/>
    <x:s v="Monthly"/>
    <x:s v="Manufacturing"/>
    <x:s v="500+"/>
    <x:n v="185"/>
    <x:n v="2259.4"/>
    <x:s v="Paid Ads"/>
    <x:s v="North America"/>
    <x:d v="2022-09-26T00:00:00"/>
    <x:x v="0"/>
    <x:d v="2023-01-27T00:00:00"/>
    <x:s v="Poor Support"/>
    <x:n v="10"/>
    <x:n v="6"/>
    <x:n v="29"/>
    <x:s v="No"/>
  </x:r>
  <x:r>
    <x:x v="421"/>
    <x:x v="0"/>
    <x:s v="Monthly"/>
    <x:s v="Consulting"/>
    <x:s v="51-200"/>
    <x:n v="59"/>
    <x:n v="766.3"/>
    <x:s v="Social Media"/>
    <x:s v="North America"/>
    <x:d v="2023-04-14T00:00:00"/>
    <x:x v="1"/>
    <x:m/>
    <x:s v=""/>
    <x:n v="3"/>
    <x:n v="7"/>
    <x:n v="92"/>
    <x:s v="Yes"/>
  </x:r>
  <x:r>
    <x:x v="422"/>
    <x:x v="1"/>
    <x:s v="Monthly"/>
    <x:s v="Manufacturing"/>
    <x:s v="11-50"/>
    <x:n v="15"/>
    <x:n v="89.9"/>
    <x:s v="Referral"/>
    <x:s v="Europe"/>
    <x:d v="2023-10-29T00:00:00"/>
    <x:x v="0"/>
    <x:d v="2024-06-25T00:00:00"/>
    <x:s v="Price Too High"/>
    <x:n v="4"/>
    <x:n v="5"/>
    <x:n v="20"/>
    <x:s v="No"/>
  </x:r>
  <x:r>
    <x:x v="423"/>
    <x:x v="1"/>
    <x:s v="Monthly"/>
    <x:s v="Media"/>
    <x:s v="1-10"/>
    <x:n v="5"/>
    <x:n v="46.4"/>
    <x:s v="Referral"/>
    <x:s v="Europe"/>
    <x:d v="2023-04-25T00:00:00"/>
    <x:x v="0"/>
    <x:d v="2024-08-21T00:00:00"/>
    <x:s v="Budget Cuts"/>
    <x:n v="11"/>
    <x:n v="6"/>
    <x:n v="50"/>
    <x:s v="No"/>
  </x:r>
  <x:r>
    <x:x v="424"/>
    <x:x v="1"/>
    <x:s v="Monthly"/>
    <x:s v="Technology"/>
    <x:s v="1-10"/>
    <x:n v="6"/>
    <x:n v="50.75"/>
    <x:s v="Referral"/>
    <x:s v="Asia Pacific"/>
    <x:d v="2025-03-15T00:00:00"/>
    <x:x v="0"/>
    <x:d v="2025-07-31T00:00:00"/>
    <x:s v="No Longer Needed"/>
    <x:n v="6"/>
    <x:n v="2"/>
    <x:n v="22"/>
    <x:s v="No"/>
  </x:r>
  <x:r>
    <x:x v="425"/>
    <x:x v="2"/>
    <x:s v="Monthly"/>
    <x:s v="Education"/>
    <x:s v="1-10"/>
    <x:n v="7"/>
    <x:n v="378.1"/>
    <x:s v="Organic Search"/>
    <x:s v="North America"/>
    <x:d v="2024-03-06T00:00:00"/>
    <x:x v="1"/>
    <x:m/>
    <x:s v=""/>
    <x:n v="10"/>
    <x:n v="10"/>
    <x:n v="68"/>
    <x:s v="Yes"/>
  </x:r>
  <x:r>
    <x:x v="426"/>
    <x:x v="1"/>
    <x:s v="Annual"/>
    <x:s v="Real Estate"/>
    <x:s v="51-200"/>
    <x:n v="79"/>
    <x:n v="313.05"/>
    <x:s v="Paid Ads"/>
    <x:s v="Latin America"/>
    <x:d v="2024-12-25T00:00:00"/>
    <x:x v="1"/>
    <x:m/>
    <x:s v=""/>
    <x:n v="6"/>
    <x:n v="7"/>
    <x:n v="37"/>
    <x:s v="No"/>
  </x:r>
  <x:r>
    <x:x v="427"/>
    <x:x v="1"/>
    <x:s v="Monthly"/>
    <x:s v="Real Estate"/>
    <x:s v="11-50"/>
    <x:n v="11"/>
    <x:n v="72.5"/>
    <x:s v="Organic Search"/>
    <x:s v="North America"/>
    <x:d v="2025-10-18T00:00:00"/>
    <x:x v="1"/>
    <x:m/>
    <x:s v=""/>
    <x:n v="1"/>
    <x:n v="4"/>
    <x:n v="24"/>
    <x:s v="No"/>
  </x:r>
  <x:r>
    <x:x v="428"/>
    <x:x v="0"/>
    <x:s v="Monthly"/>
    <x:s v="Media"/>
    <x:s v="11-50"/>
    <x:n v="15"/>
    <x:n v="244.9"/>
    <x:s v="Paid Ads"/>
    <x:s v="Europe"/>
    <x:d v="2025-06-09T00:00:00"/>
    <x:x v="1"/>
    <x:m/>
    <x:s v=""/>
    <x:n v="8"/>
    <x:n v="5"/>
    <x:n v="32"/>
    <x:s v="No"/>
  </x:r>
  <x:r>
    <x:x v="429"/>
    <x:x v="2"/>
    <x:s v="Monthly"/>
    <x:s v="Education"/>
    <x:s v="11-50"/>
    <x:n v="20"/>
    <x:n v="766.15"/>
    <x:s v="Referral"/>
    <x:s v="Europe"/>
    <x:d v="2025-11-05T00:00:00"/>
    <x:x v="1"/>
    <x:m/>
    <x:s v=""/>
    <x:n v="2"/>
    <x:n v="9"/>
    <x:n v="39"/>
    <x:s v="No"/>
  </x:r>
  <x:r>
    <x:x v="430"/>
    <x:x v="1"/>
    <x:s v="Annual"/>
    <x:s v="Real Estate"/>
    <x:s v="11-50"/>
    <x:n v="27"/>
    <x:n v="120.78"/>
    <x:s v="Organic Search"/>
    <x:s v="Asia Pacific"/>
    <x:d v="2025-10-03T00:00:00"/>
    <x:x v="1"/>
    <x:m/>
    <x:s v=""/>
    <x:n v="3"/>
    <x:n v="8"/>
    <x:n v="22"/>
    <x:s v="No"/>
  </x:r>
  <x:r>
    <x:x v="431"/>
    <x:x v="0"/>
    <x:s v="Annual"/>
    <x:s v="Education"/>
    <x:s v="51-200"/>
    <x:n v="28"/>
    <x:n v="339.11"/>
    <x:s v="Organic Search"/>
    <x:s v="North America"/>
    <x:d v="2025-05-10T00:00:00"/>
    <x:x v="1"/>
    <x:m/>
    <x:s v=""/>
    <x:n v="2"/>
    <x:n v="1"/>
    <x:n v="51"/>
    <x:s v="No"/>
  </x:r>
  <x:r>
    <x:x v="432"/>
    <x:x v="3"/>
    <x:s v="Monthly"/>
    <x:s v="Real Estate"/>
    <x:s v="11-50"/>
    <x:n v="25"/>
    <x:n v="2295.4"/>
    <x:s v="Organic Search"/>
    <x:s v="North America"/>
    <x:d v="2023-08-13T00:00:00"/>
    <x:x v="0"/>
    <x:d v="2024-02-25T00:00:00"/>
    <x:s v="No Longer Needed"/>
    <x:n v="1"/>
    <x:n v="1"/>
    <x:n v="34"/>
    <x:s v="No"/>
  </x:r>
  <x:r>
    <x:x v="433"/>
    <x:x v="1"/>
    <x:s v="Annual"/>
    <x:s v="Real Estate"/>
    <x:s v="500+"/>
    <x:n v="222"/>
    <x:n v="841.8"/>
    <x:s v="Referral"/>
    <x:s v="North America"/>
    <x:d v="2022-10-17T00:00:00"/>
    <x:x v="0"/>
    <x:d v="2024-12-05T00:00:00"/>
    <x:s v="Poor Support"/>
    <x:n v="8"/>
    <x:n v="2"/>
    <x:n v="47"/>
    <x:s v="No"/>
  </x:r>
  <x:r>
    <x:x v="434"/>
    <x:x v="1"/>
    <x:s v="Monthly"/>
    <x:s v="Retail"/>
    <x:s v="1-10"/>
    <x:n v="4"/>
    <x:n v="42.05"/>
    <x:s v="Referral"/>
    <x:s v="Latin America"/>
    <x:d v="2023-02-09T00:00:00"/>
    <x:x v="0"/>
    <x:d v="2023-08-27T00:00:00"/>
    <x:s v="Poor Support"/>
    <x:n v="5"/>
    <x:n v="3"/>
    <x:n v="10"/>
    <x:s v="No"/>
  </x:r>
  <x:r>
    <x:x v="435"/>
    <x:x v="2"/>
    <x:s v="Annual"/>
    <x:s v="Finance"/>
    <x:s v="51-200"/>
    <x:n v="48"/>
    <x:n v="1361.66"/>
    <x:s v="Paid Ads"/>
    <x:s v="Latin America"/>
    <x:d v="2022-12-11T00:00:00"/>
    <x:x v="0"/>
    <x:d v="2024-11-04T00:00:00"/>
    <x:s v="Company Closed"/>
    <x:n v="7"/>
    <x:n v="1"/>
    <x:n v="28"/>
    <x:s v="No"/>
  </x:r>
  <x:r>
    <x:x v="436"/>
    <x:x v="1"/>
    <x:s v="Monthly"/>
    <x:s v="Education"/>
    <x:s v="11-50"/>
    <x:n v="6"/>
    <x:n v="50.75"/>
    <x:s v="Referral"/>
    <x:s v="Asia Pacific"/>
    <x:d v="2023-04-10T00:00:00"/>
    <x:x v="0"/>
    <x:d v="2023-06-09T00:00:00"/>
    <x:s v="Poor Support"/>
    <x:n v="5"/>
    <x:n v="3"/>
    <x:n v="18"/>
    <x:s v="No"/>
  </x:r>
  <x:r>
    <x:x v="437"/>
    <x:x v="1"/>
    <x:s v="Annual"/>
    <x:s v="Technology"/>
    <x:s v="51-200"/>
    <x:n v="44"/>
    <x:n v="183.64"/>
    <x:s v="Paid Ads"/>
    <x:s v="Europe"/>
    <x:d v="2024-11-01T00:00:00"/>
    <x:x v="0"/>
    <x:d v="2024-11-03T00:00:00"/>
    <x:s v="Price Too High"/>
    <x:n v="5"/>
    <x:n v="6"/>
    <x:n v="31"/>
    <x:s v="No"/>
  </x:r>
  <x:r>
    <x:x v="438"/>
    <x:x v="2"/>
    <x:s v="Monthly"/>
    <x:s v="Consulting"/>
    <x:s v="500+"/>
    <x:n v="62"/>
    <x:n v="2019.85"/>
    <x:s v="Direct Sales"/>
    <x:s v="Europe"/>
    <x:d v="2025-06-08T00:00:00"/>
    <x:x v="0"/>
    <x:d v="2025-07-18T00:00:00"/>
    <x:s v="Company Closed"/>
    <x:n v="9"/>
    <x:n v="4"/>
    <x:n v="34"/>
    <x:s v="No"/>
  </x:r>
  <x:r>
    <x:x v="439"/>
    <x:x v="2"/>
    <x:s v="Annual"/>
    <x:s v="Healthcare"/>
    <x:s v="1-10"/>
    <x:n v="8"/>
    <x:n v="346.76"/>
    <x:s v="Referral"/>
    <x:s v="Latin America"/>
    <x:d v="2025-12-01T00:00:00"/>
    <x:x v="1"/>
    <x:m/>
    <x:s v=""/>
    <x:n v="1"/>
    <x:n v="10"/>
    <x:n v="50"/>
    <x:s v="No"/>
  </x:r>
  <x:r>
    <x:x v="440"/>
    <x:x v="0"/>
    <x:s v="Annual"/>
    <x:s v="Real Estate"/>
    <x:s v="201-500"/>
    <x:n v="88"/>
    <x:n v="943.46"/>
    <x:s v="Paid Ads"/>
    <x:s v="North America"/>
    <x:d v="2023-08-13T00:00:00"/>
    <x:x v="0"/>
    <x:d v="2024-01-17T00:00:00"/>
    <x:s v="Switched Competitor"/>
    <x:n v="8"/>
    <x:n v="4"/>
    <x:n v="44"/>
    <x:s v="No"/>
  </x:r>
  <x:r>
    <x:x v="441"/>
    <x:x v="2"/>
    <x:s v="Annual"/>
    <x:s v="Healthcare"/>
    <x:s v="51-200"/>
    <x:n v="54"/>
    <x:n v="1513.89"/>
    <x:s v="Paid Ads"/>
    <x:s v="Asia Pacific"/>
    <x:d v="2024-04-05T00:00:00"/>
    <x:x v="1"/>
    <x:m/>
    <x:s v=""/>
    <x:n v="10"/>
    <x:n v="10"/>
    <x:n v="33"/>
    <x:s v="Yes"/>
  </x:r>
  <x:r>
    <x:x v="442"/>
    <x:x v="0"/>
    <x:s v="Monthly"/>
    <x:s v="Legal"/>
    <x:s v="51-200"/>
    <x:n v="58"/>
    <x:n v="754.45"/>
    <x:s v="Organic Search"/>
    <x:s v="North America"/>
    <x:d v="2023-06-28T00:00:00"/>
    <x:x v="1"/>
    <x:m/>
    <x:s v=""/>
    <x:n v="11"/>
    <x:n v="5"/>
    <x:n v="84"/>
    <x:s v="No"/>
  </x:r>
  <x:r>
    <x:x v="443"/>
    <x:x v="2"/>
    <x:s v="Monthly"/>
    <x:s v="Education"/>
    <x:s v="1-10"/>
    <x:n v="5"/>
    <x:n v="318.4"/>
    <x:s v="Organic Search"/>
    <x:s v="Latin America"/>
    <x:d v="2023-10-24T00:00:00"/>
    <x:x v="1"/>
    <x:m/>
    <x:s v=""/>
    <x:n v="9"/>
    <x:n v="9"/>
    <x:n v="59"/>
    <x:s v="Yes"/>
  </x:r>
  <x:r>
    <x:x v="444"/>
    <x:x v="1"/>
    <x:s v="Monthly"/>
    <x:s v="Real Estate"/>
    <x:s v="500+"/>
    <x:n v="254"/>
    <x:n v="1129.55"/>
    <x:s v="Referral"/>
    <x:s v="North America"/>
    <x:d v="2025-05-02T00:00:00"/>
    <x:x v="1"/>
    <x:m/>
    <x:s v=""/>
    <x:n v="2"/>
    <x:n v="7"/>
    <x:n v="42"/>
    <x:s v="No"/>
  </x:r>
  <x:r>
    <x:x v="445"/>
    <x:x v="2"/>
    <x:s v="Monthly"/>
    <x:s v="Technology"/>
    <x:s v="51-200"/>
    <x:n v="30"/>
    <x:n v="1064.65"/>
    <x:s v="Paid Ads"/>
    <x:s v="Europe"/>
    <x:d v="2023-05-26T00:00:00"/>
    <x:x v="0"/>
    <x:d v="2024-03-13T00:00:00"/>
    <x:s v="Price Too High"/>
    <x:n v="10"/>
    <x:n v="3"/>
    <x:n v="44"/>
    <x:s v="No"/>
  </x:r>
  <x:r>
    <x:x v="446"/>
    <x:x v="1"/>
    <x:s v="Monthly"/>
    <x:s v="Technology"/>
    <x:s v="1-10"/>
    <x:n v="5"/>
    <x:n v="46.4"/>
    <x:s v="Direct Sales"/>
    <x:s v="Asia Pacific"/>
    <x:d v="2023-10-17T00:00:00"/>
    <x:x v="1"/>
    <x:m/>
    <x:s v=""/>
    <x:n v="0"/>
    <x:n v="9"/>
    <x:n v="46"/>
    <x:s v="No"/>
  </x:r>
  <x:r>
    <x:x v="447"/>
    <x:x v="2"/>
    <x:s v="Monthly"/>
    <x:s v="Education"/>
    <x:s v="11-50"/>
    <x:n v="31"/>
    <x:n v="1094.5"/>
    <x:s v="Paid Ads"/>
    <x:s v="North America"/>
    <x:d v="2025-01-01T00:00:00"/>
    <x:x v="1"/>
    <x:m/>
    <x:s v=""/>
    <x:n v="1"/>
    <x:n v="9"/>
    <x:n v="69"/>
    <x:s v="No"/>
  </x:r>
  <x:r>
    <x:x v="448"/>
    <x:x v="2"/>
    <x:s v="Monthly"/>
    <x:s v="Healthcare"/>
    <x:s v="500+"/>
    <x:n v="71"/>
    <x:n v="2288.5"/>
    <x:s v="Paid Ads"/>
    <x:s v="Europe"/>
    <x:d v="2024-02-12T00:00:00"/>
    <x:x v="0"/>
    <x:d v="2024-03-09T00:00:00"/>
    <x:s v="No Longer Needed"/>
    <x:n v="7"/>
    <x:n v="2"/>
    <x:n v="24"/>
    <x:s v="No"/>
  </x:r>
  <x:r>
    <x:x v="449"/>
    <x:x v="0"/>
    <x:s v="Annual"/>
    <x:s v="Retail"/>
    <x:s v="11-50"/>
    <x:n v="8"/>
    <x:n v="137.66"/>
    <x:s v="Partner"/>
    <x:s v="North America"/>
    <x:d v="2025-12-28T00:00:00"/>
    <x:x v="1"/>
    <x:m/>
    <x:s v=""/>
    <x:n v="0"/>
    <x:n v="8"/>
    <x:n v="38"/>
    <x:s v="No"/>
  </x:r>
  <x:r>
    <x:x v="450"/>
    <x:x v="2"/>
    <x:s v="Monthly"/>
    <x:s v="Legal"/>
    <x:s v="11-50"/>
    <x:n v="27"/>
    <x:n v="975.1"/>
    <x:s v="Partner"/>
    <x:s v="North America"/>
    <x:d v="2023-03-01T00:00:00"/>
    <x:x v="1"/>
    <x:m/>
    <x:s v=""/>
    <x:n v="3"/>
    <x:n v="4"/>
    <x:n v="89"/>
    <x:s v="No"/>
  </x:r>
  <x:r>
    <x:x v="451"/>
    <x:x v="0"/>
    <x:s v="Monthly"/>
    <x:s v="Technology"/>
    <x:s v="11-50"/>
    <x:n v="12"/>
    <x:n v="209.35"/>
    <x:s v="Paid Ads"/>
    <x:s v="North America"/>
    <x:d v="2025-06-13T00:00:00"/>
    <x:x v="1"/>
    <x:m/>
    <x:s v=""/>
    <x:n v="2"/>
    <x:n v="7"/>
    <x:n v="82"/>
    <x:s v="No"/>
  </x:r>
  <x:r>
    <x:x v="452"/>
    <x:x v="1"/>
    <x:s v="Monthly"/>
    <x:s v="Retail"/>
    <x:s v="1-10"/>
    <x:n v="1"/>
    <x:n v="29"/>
    <x:s v="Direct Sales"/>
    <x:s v="Latin America"/>
    <x:d v="2023-09-24T00:00:00"/>
    <x:x v="0"/>
    <x:d v="2023-10-21T00:00:00"/>
    <x:s v="Company Closed"/>
    <x:n v="2"/>
    <x:n v="1"/>
    <x:n v="27"/>
    <x:s v="No"/>
  </x:r>
  <x:r>
    <x:x v="453"/>
    <x:x v="1"/>
    <x:s v="Monthly"/>
    <x:s v="Media"/>
    <x:s v="1-10"/>
    <x:n v="1"/>
    <x:n v="29"/>
    <x:s v="Paid Ads"/>
    <x:s v="Europe"/>
    <x:d v="2025-07-09T00:00:00"/>
    <x:x v="0"/>
    <x:d v="2025-11-27T00:00:00"/>
    <x:s v="Budget Cuts"/>
    <x:n v="12"/>
    <x:n v="3"/>
    <x:n v="49"/>
    <x:s v="No"/>
  </x:r>
  <x:r>
    <x:x v="454"/>
    <x:x v="1"/>
    <x:s v="Monthly"/>
    <x:s v="Healthcare"/>
    <x:s v="11-50"/>
    <x:n v="8"/>
    <x:n v="59.45"/>
    <x:s v="Organic Search"/>
    <x:s v="Europe"/>
    <x:d v="2025-08-31T00:00:00"/>
    <x:x v="1"/>
    <x:m/>
    <x:s v=""/>
    <x:n v="4"/>
    <x:n v="7"/>
    <x:n v="34"/>
    <x:s v="No"/>
  </x:r>
  <x:r>
    <x:x v="455"/>
    <x:x v="0"/>
    <x:s v="Annual"/>
    <x:s v="Education"/>
    <x:s v="1-10"/>
    <x:n v="4"/>
    <x:n v="97.37"/>
    <x:s v="Direct Sales"/>
    <x:s v="North America"/>
    <x:d v="2023-05-17T00:00:00"/>
    <x:x v="1"/>
    <x:m/>
    <x:s v=""/>
    <x:n v="6"/>
    <x:n v="8"/>
    <x:n v="53"/>
    <x:s v="No"/>
  </x:r>
  <x:r>
    <x:x v="456"/>
    <x:x v="0"/>
    <x:s v="Annual"/>
    <x:s v="Legal"/>
    <x:s v="51-200"/>
    <x:n v="39"/>
    <x:n v="449.9"/>
    <x:s v="Direct Sales"/>
    <x:s v="Asia Pacific"/>
    <x:d v="2024-03-29T00:00:00"/>
    <x:x v="1"/>
    <x:m/>
    <x:s v=""/>
    <x:n v="0"/>
    <x:n v="5"/>
    <x:n v="58"/>
    <x:s v="No"/>
  </x:r>
  <x:r>
    <x:x v="457"/>
    <x:x v="2"/>
    <x:s v="Annual"/>
    <x:s v="Manufacturing"/>
    <x:s v="201-500"/>
    <x:n v="73"/>
    <x:n v="1995.97"/>
    <x:s v="Referral"/>
    <x:s v="North America"/>
    <x:d v="2025-04-02T00:00:00"/>
    <x:x v="1"/>
    <x:m/>
    <x:s v=""/>
    <x:n v="12"/>
    <x:n v="1"/>
    <x:n v="15"/>
    <x:s v="Yes"/>
  </x:r>
  <x:r>
    <x:x v="458"/>
    <x:x v="0"/>
    <x:s v="Monthly"/>
    <x:s v="Real Estate"/>
    <x:s v="11-50"/>
    <x:n v="7"/>
    <x:n v="150.1"/>
    <x:s v="Partner"/>
    <x:s v="North America"/>
    <x:d v="2022-12-20T00:00:00"/>
    <x:x v="0"/>
    <x:d v="2023-11-02T00:00:00"/>
    <x:s v="Missing Features"/>
    <x:n v="5"/>
    <x:n v="2"/>
    <x:n v="12"/>
    <x:s v="No"/>
  </x:r>
  <x:r>
    <x:x v="459"/>
    <x:x v="2"/>
    <x:s v="Annual"/>
    <x:s v="Finance"/>
    <x:s v="11-50"/>
    <x:n v="33"/>
    <x:n v="981.07"/>
    <x:s v="Partner"/>
    <x:s v="Asia Pacific"/>
    <x:d v="2023-02-07T00:00:00"/>
    <x:x v="1"/>
    <x:m/>
    <x:s v=""/>
    <x:n v="1"/>
    <x:n v="8"/>
    <x:n v="89"/>
    <x:s v="No"/>
  </x:r>
  <x:r>
    <x:x v="460"/>
    <x:x v="1"/>
    <x:s v="Monthly"/>
    <x:s v="Education"/>
    <x:s v="1-10"/>
    <x:n v="3"/>
    <x:n v="37.7"/>
    <x:s v="Partner"/>
    <x:s v="Europe"/>
    <x:d v="2025-01-03T00:00:00"/>
    <x:x v="1"/>
    <x:m/>
    <x:s v=""/>
    <x:n v="10"/>
    <x:n v="7"/>
    <x:n v="60"/>
    <x:s v="No"/>
  </x:r>
  <x:r>
    <x:x v="461"/>
    <x:x v="0"/>
    <x:s v="Annual"/>
    <x:s v="Education"/>
    <x:s v="1-10"/>
    <x:n v="5"/>
    <x:n v="107.44"/>
    <x:s v="Direct Sales"/>
    <x:s v="Europe"/>
    <x:d v="2025-06-09T00:00:00"/>
    <x:x v="1"/>
    <x:m/>
    <x:s v=""/>
    <x:n v="2"/>
    <x:n v="9"/>
    <x:n v="82"/>
    <x:s v="No"/>
  </x:r>
  <x:r>
    <x:x v="462"/>
    <x:x v="0"/>
    <x:s v="Monthly"/>
    <x:s v="Education"/>
    <x:s v="11-50"/>
    <x:n v="5"/>
    <x:n v="126.4"/>
    <x:s v="Social Media"/>
    <x:s v="North America"/>
    <x:d v="2022-07-06T00:00:00"/>
    <x:x v="0"/>
    <x:d v="2022-10-08T00:00:00"/>
    <x:s v="No Longer Needed"/>
    <x:n v="1"/>
    <x:n v="2"/>
    <x:n v="17"/>
    <x:s v="No"/>
  </x:r>
  <x:r>
    <x:x v="463"/>
    <x:x v="1"/>
    <x:s v="Annual"/>
    <x:s v="Real Estate"/>
    <x:s v="51-200"/>
    <x:n v="59"/>
    <x:n v="239.1"/>
    <x:s v="Paid Ads"/>
    <x:s v="North America"/>
    <x:d v="2025-10-18T00:00:00"/>
    <x:x v="1"/>
    <x:m/>
    <x:s v=""/>
    <x:n v="12"/>
    <x:n v="9"/>
    <x:n v="72"/>
    <x:s v="No"/>
  </x:r>
  <x:r>
    <x:x v="464"/>
    <x:x v="0"/>
    <x:s v="Monthly"/>
    <x:s v="Education"/>
    <x:s v="1-10"/>
    <x:n v="1"/>
    <x:n v="79"/>
    <x:s v="Direct Sales"/>
    <x:s v="Europe"/>
    <x:d v="2025-12-24T00:00:00"/>
    <x:x v="1"/>
    <x:m/>
    <x:s v=""/>
    <x:n v="11"/>
    <x:n v="5"/>
    <x:n v="84"/>
    <x:s v="No"/>
  </x:r>
  <x:r>
    <x:x v="465"/>
    <x:x v="2"/>
    <x:s v="Annual"/>
    <x:s v="Finance"/>
    <x:s v="51-200"/>
    <x:n v="35"/>
    <x:n v="1031.82"/>
    <x:s v="Paid Ads"/>
    <x:s v="Europe"/>
    <x:d v="2024-04-27T00:00:00"/>
    <x:x v="1"/>
    <x:m/>
    <x:s v=""/>
    <x:n v="4"/>
    <x:n v="8"/>
    <x:n v="41"/>
    <x:s v="No"/>
  </x:r>
  <x:r>
    <x:x v="466"/>
    <x:x v="1"/>
    <x:s v="Annual"/>
    <x:s v="Healthcare"/>
    <x:s v="201-500"/>
    <x:n v="112"/>
    <x:n v="435.07"/>
    <x:s v="Referral"/>
    <x:s v="Latin America"/>
    <x:d v="2022-10-27T00:00:00"/>
    <x:x v="0"/>
    <x:d v="2023-06-19T00:00:00"/>
    <x:s v="Switched Competitor"/>
    <x:n v="12"/>
    <x:n v="1"/>
    <x:n v="34"/>
    <x:s v="No"/>
  </x:r>
  <x:r>
    <x:x v="467"/>
    <x:x v="3"/>
    <x:s v="Annual"/>
    <x:s v="Technology"/>
    <x:s v="11-50"/>
    <x:n v="10"/>
    <x:n v="996.75"/>
    <x:s v="Referral"/>
    <x:s v="North America"/>
    <x:d v="2024-05-12T00:00:00"/>
    <x:x v="1"/>
    <x:m/>
    <x:s v=""/>
    <x:n v="3"/>
    <x:n v="1"/>
    <x:n v="64"/>
    <x:s v="No"/>
  </x:r>
  <x:r>
    <x:x v="468"/>
    <x:x v="2"/>
    <x:s v="Annual"/>
    <x:s v="Media"/>
    <x:s v="1-10"/>
    <x:n v="3"/>
    <x:n v="219.9"/>
    <x:s v="Paid Ads"/>
    <x:s v="Europe"/>
    <x:d v="2025-12-19T00:00:00"/>
    <x:x v="1"/>
    <x:m/>
    <x:s v=""/>
    <x:n v="8"/>
    <x:n v="2"/>
    <x:n v="45"/>
    <x:s v="No"/>
  </x:r>
  <x:r>
    <x:x v="469"/>
    <x:x v="0"/>
    <x:s v="Monthly"/>
    <x:s v="Real Estate"/>
    <x:s v="1-10"/>
    <x:n v="5"/>
    <x:n v="126.4"/>
    <x:s v="Direct Sales"/>
    <x:s v="North America"/>
    <x:d v="2024-10-12T00:00:00"/>
    <x:x v="0"/>
    <x:d v="2025-04-09T00:00:00"/>
    <x:s v="Budget Cuts"/>
    <x:n v="4"/>
    <x:n v="1"/>
    <x:n v="21"/>
    <x:s v="No"/>
  </x:r>
  <x:r>
    <x:x v="470"/>
    <x:x v="2"/>
    <x:s v="Annual"/>
    <x:s v="Real Estate"/>
    <x:s v="51-200"/>
    <x:n v="62"/>
    <x:n v="1716.87"/>
    <x:s v="Paid Ads"/>
    <x:s v="North America"/>
    <x:d v="2023-09-22T00:00:00"/>
    <x:x v="0"/>
    <x:d v="2025-06-03T00:00:00"/>
    <x:s v="No Longer Needed"/>
    <x:n v="10"/>
    <x:n v="4"/>
    <x:n v="28"/>
    <x:s v="No"/>
  </x:r>
  <x:r>
    <x:x v="471"/>
    <x:x v="1"/>
    <x:s v="Annual"/>
    <x:s v="Real Estate"/>
    <x:s v="11-50"/>
    <x:n v="5"/>
    <x:n v="39.44"/>
    <x:s v="Partner"/>
    <x:s v="Asia Pacific"/>
    <x:d v="2022-08-31T00:00:00"/>
    <x:x v="0"/>
    <x:d v="2022-12-25T00:00:00"/>
    <x:s v="Poor Support"/>
    <x:n v="12"/>
    <x:n v="1"/>
    <x:n v="44"/>
    <x:s v="No"/>
  </x:r>
  <x:r>
    <x:x v="472"/>
    <x:x v="1"/>
    <x:s v="Monthly"/>
    <x:s v="Finance"/>
    <x:s v="51-200"/>
    <x:n v="48"/>
    <x:n v="233.45"/>
    <x:s v="Direct Sales"/>
    <x:s v="North America"/>
    <x:d v="2025-07-04T00:00:00"/>
    <x:x v="1"/>
    <x:m/>
    <x:s v=""/>
    <x:n v="0"/>
    <x:n v="7"/>
    <x:n v="40"/>
    <x:s v="No"/>
  </x:r>
  <x:r>
    <x:x v="473"/>
    <x:x v="0"/>
    <x:s v="Annual"/>
    <x:s v="Real Estate"/>
    <x:s v="11-50"/>
    <x:n v="7"/>
    <x:n v="127.59"/>
    <x:s v="Referral"/>
    <x:s v="Europe"/>
    <x:d v="2022-11-15T00:00:00"/>
    <x:x v="0"/>
    <x:d v="2023-02-07T00:00:00"/>
    <x:s v="Missing Features"/>
    <x:n v="1"/>
    <x:n v="5"/>
    <x:n v="45"/>
    <x:s v="No"/>
  </x:r>
  <x:r>
    <x:x v="474"/>
    <x:x v="0"/>
    <x:s v="Annual"/>
    <x:s v="Real Estate"/>
    <x:s v="1-10"/>
    <x:n v="1"/>
    <x:n v="67.15"/>
    <x:s v="Paid Ads"/>
    <x:s v="North America"/>
    <x:d v="2025-12-28T00:00:00"/>
    <x:x v="1"/>
    <x:m/>
    <x:s v=""/>
    <x:n v="11"/>
    <x:n v="6"/>
    <x:n v="30"/>
    <x:s v="No"/>
  </x:r>
  <x:r>
    <x:x v="475"/>
    <x:x v="0"/>
    <x:s v="Annual"/>
    <x:s v="Real Estate"/>
    <x:s v="1-10"/>
    <x:n v="2"/>
    <x:n v="77.22"/>
    <x:s v="Organic Search"/>
    <x:s v="Latin America"/>
    <x:d v="2025-06-14T00:00:00"/>
    <x:x v="1"/>
    <x:m/>
    <x:s v=""/>
    <x:n v="1"/>
    <x:n v="3"/>
    <x:n v="15"/>
    <x:s v="No"/>
  </x:r>
  <x:r>
    <x:x v="476"/>
    <x:x v="0"/>
    <x:s v="Monthly"/>
    <x:s v="Technology"/>
    <x:s v="51-200"/>
    <x:n v="67"/>
    <x:n v="861.1"/>
    <x:s v="Direct Sales"/>
    <x:s v="Asia Pacific"/>
    <x:d v="2025-06-14T00:00:00"/>
    <x:x v="1"/>
    <x:m/>
    <x:s v=""/>
    <x:n v="11"/>
    <x:n v="8"/>
    <x:n v="76"/>
    <x:s v="No"/>
  </x:r>
  <x:r>
    <x:x v="477"/>
    <x:x v="2"/>
    <x:s v="Monthly"/>
    <x:s v="Retail"/>
    <x:s v="1-10"/>
    <x:n v="3"/>
    <x:n v="258.7"/>
    <x:s v="Paid Ads"/>
    <x:s v="Europe"/>
    <x:d v="2022-02-17T00:00:00"/>
    <x:x v="0"/>
    <x:d v="2024-06-28T00:00:00"/>
    <x:s v="Poor Support"/>
    <x:n v="1"/>
    <x:n v="1"/>
    <x:n v="11"/>
    <x:s v="No"/>
  </x:r>
  <x:r>
    <x:x v="478"/>
    <x:x v="1"/>
    <x:s v="Monthly"/>
    <x:s v="Healthcare"/>
    <x:s v="11-50"/>
    <x:n v="10"/>
    <x:n v="68.15"/>
    <x:s v="Paid Ads"/>
    <x:s v="North America"/>
    <x:d v="2023-11-06T00:00:00"/>
    <x:x v="0"/>
    <x:d v="2025-03-21T00:00:00"/>
    <x:s v="Missing Features"/>
    <x:n v="2"/>
    <x:n v="1"/>
    <x:n v="21"/>
    <x:s v="No"/>
  </x:r>
  <x:r>
    <x:x v="479"/>
    <x:x v="2"/>
    <x:s v="Monthly"/>
    <x:s v="Manufacturing"/>
    <x:s v="11-50"/>
    <x:n v="5"/>
    <x:n v="318.4"/>
    <x:s v="Organic Search"/>
    <x:s v="Europe"/>
    <x:d v="2023-02-08T00:00:00"/>
    <x:x v="0"/>
    <x:d v="2023-02-16T00:00:00"/>
    <x:s v="Company Closed"/>
    <x:n v="8"/>
    <x:n v="6"/>
    <x:n v="34"/>
    <x:s v="No"/>
  </x:r>
  <x:r>
    <x:x v="480"/>
    <x:x v="3"/>
    <x:s v="Monthly"/>
    <x:s v="Legal"/>
    <x:s v="201-500"/>
    <x:n v="112"/>
    <x:n v="8807.35"/>
    <x:s v="Organic Search"/>
    <x:s v="Europe"/>
    <x:d v="2024-06-21T00:00:00"/>
    <x:x v="1"/>
    <x:m/>
    <x:s v=""/>
    <x:n v="2"/>
    <x:n v="2"/>
    <x:n v="61"/>
    <x:s v="No"/>
  </x:r>
  <x:r>
    <x:x v="481"/>
    <x:x v="0"/>
    <x:s v="Annual"/>
    <x:s v="Education"/>
    <x:s v="11-50"/>
    <x:n v="27"/>
    <x:n v="329.03"/>
    <x:s v="Paid Ads"/>
    <x:s v="North America"/>
    <x:d v="2024-10-02T00:00:00"/>
    <x:x v="1"/>
    <x:m/>
    <x:s v=""/>
    <x:n v="8"/>
    <x:n v="6"/>
    <x:n v="80"/>
    <x:s v="No"/>
  </x:r>
  <x:r>
    <x:x v="482"/>
    <x:x v="1"/>
    <x:s v="Annual"/>
    <x:s v="Education"/>
    <x:s v="11-50"/>
    <x:n v="6"/>
    <x:n v="43.14"/>
    <x:s v="Paid Ads"/>
    <x:s v="North America"/>
    <x:d v="2022-02-22T00:00:00"/>
    <x:x v="0"/>
    <x:d v="2022-08-11T00:00:00"/>
    <x:s v="Company Closed"/>
    <x:n v="6"/>
    <x:n v="1"/>
    <x:n v="21"/>
    <x:s v="No"/>
  </x:r>
  <x:r>
    <x:x v="483"/>
    <x:x v="2"/>
    <x:s v="Monthly"/>
    <x:s v="Legal"/>
    <x:s v="11-50"/>
    <x:n v="29"/>
    <x:n v="1034.8"/>
    <x:s v="Organic Search"/>
    <x:s v="Europe"/>
    <x:d v="2023-05-26T00:00:00"/>
    <x:x v="0"/>
    <x:d v="2023-06-18T00:00:00"/>
    <x:s v="Poor Support"/>
    <x:n v="7"/>
    <x:n v="3"/>
    <x:n v="32"/>
    <x:s v="No"/>
  </x:r>
  <x:r>
    <x:x v="484"/>
    <x:x v="0"/>
    <x:s v="Annual"/>
    <x:s v="Finance"/>
    <x:s v="1-10"/>
    <x:n v="2"/>
    <x:n v="77.22"/>
    <x:s v="Organic Search"/>
    <x:s v="Europe"/>
    <x:d v="2023-09-13T00:00:00"/>
    <x:x v="0"/>
    <x:d v="2025-03-29T00:00:00"/>
    <x:s v="Budget Cuts"/>
    <x:n v="7"/>
    <x:n v="1"/>
    <x:n v="30"/>
    <x:s v="No"/>
  </x:r>
  <x:r>
    <x:x v="485"/>
    <x:x v="1"/>
    <x:s v="Monthly"/>
    <x:s v="Healthcare"/>
    <x:s v="51-200"/>
    <x:n v="25"/>
    <x:n v="133.4"/>
    <x:s v="Partner"/>
    <x:s v="Asia Pacific"/>
    <x:d v="2024-11-29T00:00:00"/>
    <x:x v="0"/>
    <x:d v="2025-01-28T00:00:00"/>
    <x:s v="Budget Cuts"/>
    <x:n v="10"/>
    <x:n v="4"/>
    <x:n v="29"/>
    <x:s v="No"/>
  </x:r>
  <x:r>
    <x:x v="486"/>
    <x:x v="1"/>
    <x:s v="Monthly"/>
    <x:s v="Real Estate"/>
    <x:s v="1-10"/>
    <x:n v="7"/>
    <x:n v="55.1"/>
    <x:s v="Social Media"/>
    <x:s v="Europe"/>
    <x:d v="2024-07-12T00:00:00"/>
    <x:x v="0"/>
    <x:d v="2025-10-03T00:00:00"/>
    <x:s v="Missing Features"/>
    <x:n v="8"/>
    <x:n v="3"/>
    <x:n v="50"/>
    <x:s v="No"/>
  </x:r>
  <x:r>
    <x:x v="487"/>
    <x:x v="2"/>
    <x:s v="Annual"/>
    <x:s v="Education"/>
    <x:s v="1-10"/>
    <x:n v="7"/>
    <x:n v="321.38"/>
    <x:s v="Partner"/>
    <x:s v="North America"/>
    <x:d v="2022-09-21T00:00:00"/>
    <x:x v="1"/>
    <x:m/>
    <x:s v=""/>
    <x:n v="2"/>
    <x:n v="6"/>
    <x:n v="84"/>
    <x:s v="No"/>
  </x:r>
  <x:r>
    <x:x v="488"/>
    <x:x v="0"/>
    <x:s v="Monthly"/>
    <x:s v="Consulting"/>
    <x:s v="11-50"/>
    <x:n v="24"/>
    <x:n v="351.55"/>
    <x:s v="Referral"/>
    <x:s v="Asia Pacific"/>
    <x:d v="2023-07-30T00:00:00"/>
    <x:x v="0"/>
    <x:d v="2025-05-02T00:00:00"/>
    <x:s v="No Longer Needed"/>
    <x:n v="15"/>
    <x:n v="5"/>
    <x:n v="26"/>
    <x:s v="No"/>
  </x:r>
  <x:r>
    <x:x v="489"/>
    <x:x v="3"/>
    <x:s v="Monthly"/>
    <x:s v="Media"/>
    <x:s v="1-10"/>
    <x:n v="6"/>
    <x:n v="873.25"/>
    <x:s v="Referral"/>
    <x:s v="North America"/>
    <x:d v="2022-03-27T00:00:00"/>
    <x:x v="0"/>
    <x:d v="2025-02-22T00:00:00"/>
    <x:s v="Company Closed"/>
    <x:n v="11"/>
    <x:n v="3"/>
    <x:n v="19"/>
    <x:s v="No"/>
  </x:r>
  <x:r>
    <x:x v="490"/>
    <x:x v="1"/>
    <x:s v="Monthly"/>
    <x:s v="Manufacturing"/>
    <x:s v="201-500"/>
    <x:n v="121"/>
    <x:n v="551"/>
    <x:s v="Social Media"/>
    <x:s v="Europe"/>
    <x:d v="2024-06-01T00:00:00"/>
    <x:x v="0"/>
    <x:d v="2025-04-06T00:00:00"/>
    <x:s v="Price Too High"/>
    <x:n v="2"/>
    <x:n v="6"/>
    <x:n v="23"/>
    <x:s v="No"/>
  </x:r>
  <x:r>
    <x:x v="491"/>
    <x:x v="0"/>
    <x:s v="Monthly"/>
    <x:s v="Finance"/>
    <x:s v="1-10"/>
    <x:n v="4"/>
    <x:n v="114.55"/>
    <x:s v="Referral"/>
    <x:s v="Europe"/>
    <x:d v="2022-12-04T00:00:00"/>
    <x:x v="0"/>
    <x:d v="2025-03-31T00:00:00"/>
    <x:s v="Company Closed"/>
    <x:n v="15"/>
    <x:n v="1"/>
    <x:n v="27"/>
    <x:s v="No"/>
  </x:r>
  <x:r>
    <x:x v="492"/>
    <x:x v="1"/>
    <x:s v="Annual"/>
    <x:s v="Finance"/>
    <x:s v="51-200"/>
    <x:n v="73"/>
    <x:n v="290.87"/>
    <x:s v="Organic Search"/>
    <x:s v="North America"/>
    <x:d v="2025-10-06T00:00:00"/>
    <x:x v="1"/>
    <x:m/>
    <x:s v=""/>
    <x:n v="3"/>
    <x:n v="7"/>
    <x:n v="57"/>
    <x:s v="No"/>
  </x:r>
  <x:r>
    <x:x v="493"/>
    <x:x v="2"/>
    <x:s v="Monthly"/>
    <x:s v="Retail"/>
    <x:s v="500+"/>
    <x:n v="199"/>
    <x:n v="6109.3"/>
    <x:s v="Partner"/>
    <x:s v="North America"/>
    <x:d v="2022-05-30T00:00:00"/>
    <x:x v="0"/>
    <x:d v="2025-09-19T00:00:00"/>
    <x:s v="Missing Features"/>
    <x:n v="13"/>
    <x:n v="4"/>
    <x:n v="26"/>
    <x:s v="No"/>
  </x:r>
  <x:r>
    <x:x v="494"/>
    <x:x v="2"/>
    <x:s v="Monthly"/>
    <x:s v="Healthcare"/>
    <x:s v="11-50"/>
    <x:n v="21"/>
    <x:n v="796"/>
    <x:s v="Paid Ads"/>
    <x:s v="Asia Pacific"/>
    <x:d v="2022-08-10T00:00:00"/>
    <x:x v="0"/>
    <x:d v="2023-12-09T00:00:00"/>
    <x:s v="No Longer Needed"/>
    <x:n v="4"/>
    <x:n v="1"/>
    <x:n v="13"/>
    <x:s v="No"/>
  </x:r>
  <x:r>
    <x:x v="495"/>
    <x:x v="1"/>
    <x:s v="Annual"/>
    <x:s v="Finance"/>
    <x:s v="1-10"/>
    <x:n v="4"/>
    <x:n v="35.74"/>
    <x:s v="Referral"/>
    <x:s v="Europe"/>
    <x:d v="2023-06-27T00:00:00"/>
    <x:x v="0"/>
    <x:d v="2023-09-11T00:00:00"/>
    <x:s v="Price Too High"/>
    <x:n v="1"/>
    <x:n v="1"/>
    <x:n v="39"/>
    <x:s v="No"/>
  </x:r>
  <x:r>
    <x:x v="496"/>
    <x:x v="3"/>
    <x:s v="Monthly"/>
    <x:s v="Legal"/>
    <x:s v="1-10"/>
    <x:n v="4"/>
    <x:n v="723.55"/>
    <x:s v="Paid Ads"/>
    <x:s v="North America"/>
    <x:d v="2024-02-03T00:00:00"/>
    <x:x v="1"/>
    <x:m/>
    <x:s v=""/>
    <x:n v="0"/>
    <x:n v="6"/>
    <x:n v="47"/>
    <x:s v="No"/>
  </x:r>
  <x:r>
    <x:x v="497"/>
    <x:x v="2"/>
    <x:s v="Annual"/>
    <x:s v="Education"/>
    <x:s v="11-50"/>
    <x:n v="5"/>
    <x:n v="270.64"/>
    <x:s v="Social Media"/>
    <x:s v="Europe"/>
    <x:d v="2025-12-24T00:00:00"/>
    <x:x v="1"/>
    <x:m/>
    <x:s v=""/>
    <x:n v="3"/>
    <x:n v="5"/>
    <x:n v="48"/>
    <x:s v="No"/>
  </x:r>
  <x:r>
    <x:x v="498"/>
    <x:x v="2"/>
    <x:s v="Monthly"/>
    <x:s v="Education"/>
    <x:s v="11-50"/>
    <x:n v="15"/>
    <x:n v="616.9"/>
    <x:s v="Referral"/>
    <x:s v="North America"/>
    <x:d v="2025-03-06T00:00:00"/>
    <x:x v="1"/>
    <x:m/>
    <x:s v=""/>
    <x:n v="11"/>
    <x:n v="10"/>
    <x:n v="37"/>
    <x:s v="No"/>
  </x:r>
  <x:r>
    <x:x v="499"/>
    <x:x v="0"/>
    <x:s v="Monthly"/>
    <x:s v="Media"/>
    <x:s v="51-200"/>
    <x:n v="71"/>
    <x:n v="908.5"/>
    <x:s v="Referral"/>
    <x:s v="North America"/>
    <x:d v="2025-11-28T00:00:00"/>
    <x:x v="1"/>
    <x:m/>
    <x:s v=""/>
    <x:n v="4"/>
    <x:n v="5"/>
    <x:n v="70"/>
    <x:s v="No"/>
  </x:r>
  <x:r>
    <x:x v="500"/>
    <x:x v="1"/>
    <x:s v="Annual"/>
    <x:s v="Education"/>
    <x:s v="500+"/>
    <x:n v="144"/>
    <x:n v="553.39"/>
    <x:s v="Partner"/>
    <x:s v="North America"/>
    <x:d v="2023-07-30T00:00:00"/>
    <x:x v="0"/>
    <x:d v="2024-01-28T00:00:00"/>
    <x:s v="Company Closed"/>
    <x:n v="6"/>
    <x:n v="3"/>
    <x:n v="45"/>
    <x:s v="No"/>
  </x:r>
  <x:r>
    <x:x v="501"/>
    <x:x v="0"/>
    <x:s v="Annual"/>
    <x:s v="Retail"/>
    <x:s v="11-50"/>
    <x:n v="32"/>
    <x:n v="379.4"/>
    <x:s v="Referral"/>
    <x:s v="Europe"/>
    <x:d v="2024-10-28T00:00:00"/>
    <x:x v="1"/>
    <x:m/>
    <x:s v=""/>
    <x:n v="5"/>
    <x:n v="9"/>
    <x:n v="36"/>
    <x:s v="No"/>
  </x:r>
  <x:r>
    <x:x v="502"/>
    <x:x v="3"/>
    <x:s v="Annual"/>
    <x:s v="Real Estate"/>
    <x:s v="11-50"/>
    <x:n v="23"/>
    <x:n v="1823.84"/>
    <x:s v="Organic Search"/>
    <x:s v="Latin America"/>
    <x:d v="2025-01-20T00:00:00"/>
    <x:x v="1"/>
    <x:m/>
    <x:s v=""/>
    <x:n v="10"/>
    <x:n v="7"/>
    <x:n v="16"/>
    <x:s v="No"/>
  </x:r>
  <x:r>
    <x:x v="503"/>
    <x:x v="1"/>
    <x:s v="Monthly"/>
    <x:s v="Retail"/>
    <x:s v="11-50"/>
    <x:n v="15"/>
    <x:n v="89.9"/>
    <x:s v="Organic Search"/>
    <x:s v="Europe"/>
    <x:d v="2025-04-12T00:00:00"/>
    <x:x v="0"/>
    <x:d v="2025-05-08T00:00:00"/>
    <x:s v="Budget Cuts"/>
    <x:n v="14"/>
    <x:n v="3"/>
    <x:n v="26"/>
    <x:s v="No"/>
  </x:r>
  <x:r>
    <x:x v="504"/>
    <x:x v="2"/>
    <x:s v="Monthly"/>
    <x:s v="Technology"/>
    <x:s v="51-200"/>
    <x:n v="49"/>
    <x:n v="1631.8"/>
    <x:s v="Referral"/>
    <x:s v="North America"/>
    <x:d v="2022-05-12T00:00:00"/>
    <x:x v="0"/>
    <x:d v="2023-08-04T00:00:00"/>
    <x:s v="Budget Cuts"/>
    <x:n v="10"/>
    <x:n v="6"/>
    <x:n v="16"/>
    <x:s v="No"/>
  </x:r>
  <x:r>
    <x:x v="505"/>
    <x:x v="1"/>
    <x:s v="Monthly"/>
    <x:s v="Technology"/>
    <x:s v="11-50"/>
    <x:n v="26"/>
    <x:n v="137.75"/>
    <x:s v="Organic Search"/>
    <x:s v="Latin America"/>
    <x:d v="2024-11-08T00:00:00"/>
    <x:x v="0"/>
    <x:d v="2025-08-25T00:00:00"/>
    <x:s v="No Longer Needed"/>
    <x:n v="12"/>
    <x:n v="2"/>
    <x:n v="26"/>
    <x:s v="No"/>
  </x:r>
  <x:r>
    <x:x v="506"/>
    <x:x v="2"/>
    <x:s v="Annual"/>
    <x:s v="Manufacturing"/>
    <x:s v="11-50"/>
    <x:n v="35"/>
    <x:n v="1031.82"/>
    <x:s v="Partner"/>
    <x:s v="North America"/>
    <x:d v="2025-04-21T00:00:00"/>
    <x:x v="1"/>
    <x:m/>
    <x:s v=""/>
    <x:n v="2"/>
    <x:n v="6"/>
    <x:n v="70"/>
    <x:s v="Yes"/>
  </x:r>
  <x:r>
    <x:x v="507"/>
    <x:x v="1"/>
    <x:s v="Annual"/>
    <x:s v="Finance"/>
    <x:s v="51-200"/>
    <x:n v="54"/>
    <x:n v="220.62"/>
    <x:s v="Referral"/>
    <x:s v="Asia Pacific"/>
    <x:d v="2022-03-10T00:00:00"/>
    <x:x v="0"/>
    <x:d v="2022-11-09T00:00:00"/>
    <x:s v="Company Closed"/>
    <x:n v="3"/>
    <x:n v="2"/>
    <x:n v="33"/>
    <x:s v="No"/>
  </x:r>
  <x:r>
    <x:x v="508"/>
    <x:x v="1"/>
    <x:s v="Monthly"/>
    <x:s v="Education"/>
    <x:s v="500+"/>
    <x:n v="56"/>
    <x:n v="268.25"/>
    <x:s v="Referral"/>
    <x:s v="Latin America"/>
    <x:d v="2023-05-12T00:00:00"/>
    <x:x v="0"/>
    <x:d v="2023-07-04T00:00:00"/>
    <x:s v="Switched Competitor"/>
    <x:n v="12"/>
    <x:n v="2"/>
    <x:n v="17"/>
    <x:s v="No"/>
  </x:r>
  <x:r>
    <x:x v="509"/>
    <x:x v="2"/>
    <x:s v="Monthly"/>
    <x:s v="Education"/>
    <x:s v="11-50"/>
    <x:n v="27"/>
    <x:n v="975.1"/>
    <x:s v="Referral"/>
    <x:s v="Asia Pacific"/>
    <x:d v="2024-08-26T00:00:00"/>
    <x:x v="0"/>
    <x:d v="2025-04-07T00:00:00"/>
    <x:s v="Switched Competitor"/>
    <x:n v="9"/>
    <x:n v="2"/>
    <x:n v="24"/>
    <x:s v="No"/>
  </x:r>
  <x:r>
    <x:x v="510"/>
    <x:x v="0"/>
    <x:s v="Monthly"/>
    <x:s v="Education"/>
    <x:s v="11-50"/>
    <x:n v="25"/>
    <x:n v="363.4"/>
    <x:s v="Paid Ads"/>
    <x:s v="North America"/>
    <x:d v="2025-09-23T00:00:00"/>
    <x:x v="1"/>
    <x:m/>
    <x:s v=""/>
    <x:n v="6"/>
    <x:n v="4"/>
    <x:n v="30"/>
    <x:s v="No"/>
  </x:r>
  <x:r>
    <x:x v="511"/>
    <x:x v="1"/>
    <x:s v="Annual"/>
    <x:s v="Consulting"/>
    <x:s v="51-200"/>
    <x:n v="26"/>
    <x:n v="117.09"/>
    <x:s v="Referral"/>
    <x:s v="Europe"/>
    <x:d v="2023-01-17T00:00:00"/>
    <x:x v="0"/>
    <x:d v="2023-06-08T00:00:00"/>
    <x:s v="Budget Cuts"/>
    <x:n v="15"/>
    <x:n v="2"/>
    <x:n v="36"/>
    <x:s v="No"/>
  </x:r>
  <x:r>
    <x:x v="512"/>
    <x:x v="0"/>
    <x:s v="Annual"/>
    <x:s v="Education"/>
    <x:s v="1-10"/>
    <x:n v="8"/>
    <x:n v="137.66"/>
    <x:s v="Referral"/>
    <x:s v="North America"/>
    <x:d v="2024-01-20T00:00:00"/>
    <x:x v="0"/>
    <x:d v="2024-02-01T00:00:00"/>
    <x:s v="Company Closed"/>
    <x:n v="6"/>
    <x:n v="5"/>
    <x:n v="13"/>
    <x:s v="No"/>
  </x:r>
  <x:r>
    <x:x v="513"/>
    <x:x v="2"/>
    <x:s v="Monthly"/>
    <x:s v="Finance"/>
    <x:s v="201-500"/>
    <x:n v="68"/>
    <x:n v="2198.95"/>
    <x:s v="Paid Ads"/>
    <x:s v="Latin America"/>
    <x:d v="2024-01-27T00:00:00"/>
    <x:x v="0"/>
    <x:d v="2024-06-19T00:00:00"/>
    <x:s v="Budget Cuts"/>
    <x:n v="15"/>
    <x:n v="1"/>
    <x:n v="19"/>
    <x:s v="No"/>
  </x:r>
  <x:r>
    <x:x v="514"/>
    <x:x v="3"/>
    <x:s v="Monthly"/>
    <x:s v="Finance"/>
    <x:s v="1-10"/>
    <x:n v="2"/>
    <x:n v="573.85"/>
    <x:s v="Organic Search"/>
    <x:s v="North America"/>
    <x:d v="2022-04-01T00:00:00"/>
    <x:x v="1"/>
    <x:m/>
    <x:s v=""/>
    <x:n v="7"/>
    <x:n v="8"/>
    <x:n v="28"/>
    <x:s v="No"/>
  </x:r>
  <x:r>
    <x:x v="515"/>
    <x:x v="2"/>
    <x:s v="Monthly"/>
    <x:s v="Education"/>
    <x:s v="51-200"/>
    <x:n v="42"/>
    <x:n v="1422.85"/>
    <x:s v="Partner"/>
    <x:s v="Europe"/>
    <x:d v="2024-11-16T00:00:00"/>
    <x:x v="1"/>
    <x:m/>
    <x:s v=""/>
    <x:n v="10"/>
    <x:n v="2"/>
    <x:n v="17"/>
    <x:s v="No"/>
  </x:r>
  <x:r>
    <x:x v="516"/>
    <x:x v="0"/>
    <x:s v="Monthly"/>
    <x:s v="Healthcare"/>
    <x:s v="51-200"/>
    <x:n v="59"/>
    <x:n v="766.3"/>
    <x:s v="Social Media"/>
    <x:s v="Europe"/>
    <x:d v="2024-04-30T00:00:00"/>
    <x:x v="0"/>
    <x:d v="2024-10-14T00:00:00"/>
    <x:s v="Company Closed"/>
    <x:n v="12"/>
    <x:n v="4"/>
    <x:n v="42"/>
    <x:s v="No"/>
  </x:r>
  <x:r>
    <x:x v="517"/>
    <x:x v="1"/>
    <x:s v="Annual"/>
    <x:s v="Manufacturing"/>
    <x:s v="11-50"/>
    <x:n v="21"/>
    <x:n v="98.6"/>
    <x:s v="Paid Ads"/>
    <x:s v="North America"/>
    <x:d v="2025-05-20T00:00:00"/>
    <x:x v="1"/>
    <x:m/>
    <x:s v=""/>
    <x:n v="4"/>
    <x:n v="7"/>
    <x:n v="71"/>
    <x:s v="No"/>
  </x:r>
  <x:r>
    <x:x v="518"/>
    <x:x v="2"/>
    <x:s v="Annual"/>
    <x:s v="Media"/>
    <x:s v="11-50"/>
    <x:n v="34"/>
    <x:n v="1006.44"/>
    <x:s v="Paid Ads"/>
    <x:s v="Asia Pacific"/>
    <x:d v="2022-08-18T00:00:00"/>
    <x:x v="1"/>
    <x:m/>
    <x:s v=""/>
    <x:n v="10"/>
    <x:n v="4"/>
    <x:n v="84"/>
    <x:s v="No"/>
  </x:r>
  <x:r>
    <x:x v="519"/>
    <x:x v="0"/>
    <x:s v="Monthly"/>
    <x:s v="Healthcare"/>
    <x:s v="11-50"/>
    <x:n v="31"/>
    <x:n v="434.5"/>
    <x:s v="Paid Ads"/>
    <x:s v="Europe"/>
    <x:d v="2022-06-12T00:00:00"/>
    <x:x v="0"/>
    <x:d v="2024-04-30T00:00:00"/>
    <x:s v="Switched Competitor"/>
    <x:n v="10"/>
    <x:n v="4"/>
    <x:n v="20"/>
    <x:s v="No"/>
  </x:r>
  <x:r>
    <x:x v="520"/>
    <x:x v="3"/>
    <x:s v="Monthly"/>
    <x:s v="Finance"/>
    <x:s v="1-10"/>
    <x:n v="4"/>
    <x:n v="723.55"/>
    <x:s v="Organic Search"/>
    <x:s v="Asia Pacific"/>
    <x:d v="2024-08-01T00:00:00"/>
    <x:x v="0"/>
    <x:d v="2025-05-10T00:00:00"/>
    <x:s v="Company Closed"/>
    <x:n v="5"/>
    <x:n v="6"/>
    <x:n v="31"/>
    <x:s v="No"/>
  </x:r>
  <x:r>
    <x:x v="521"/>
    <x:x v="3"/>
    <x:s v="Monthly"/>
    <x:s v="Technology"/>
    <x:s v="1-10"/>
    <x:n v="7"/>
    <x:n v="948.1"/>
    <x:s v="Direct Sales"/>
    <x:s v="Asia Pacific"/>
    <x:d v="2023-06-26T00:00:00"/>
    <x:x v="1"/>
    <x:m/>
    <x:s v=""/>
    <x:n v="0"/>
    <x:n v="5"/>
    <x:n v="83"/>
    <x:s v="No"/>
  </x:r>
  <x:r>
    <x:x v="522"/>
    <x:x v="2"/>
    <x:s v="Monthly"/>
    <x:s v="Healthcare"/>
    <x:s v="1-10"/>
    <x:n v="7"/>
    <x:n v="378.1"/>
    <x:s v="Partner"/>
    <x:s v="Europe"/>
    <x:d v="2024-01-07T00:00:00"/>
    <x:x v="0"/>
    <x:d v="2025-04-26T00:00:00"/>
    <x:s v="Missing Features"/>
    <x:n v="0"/>
    <x:n v="1"/>
    <x:n v="36"/>
    <x:s v="No"/>
  </x:r>
  <x:r>
    <x:x v="523"/>
    <x:x v="0"/>
    <x:s v="Monthly"/>
    <x:s v="Media"/>
    <x:s v="51-200"/>
    <x:n v="59"/>
    <x:n v="766.3"/>
    <x:s v="Partner"/>
    <x:s v="North America"/>
    <x:d v="2022-02-07T00:00:00"/>
    <x:x v="1"/>
    <x:m/>
    <x:s v=""/>
    <x:n v="2"/>
    <x:n v="7"/>
    <x:n v="51"/>
    <x:s v="No"/>
  </x:r>
  <x:r>
    <x:x v="524"/>
    <x:x v="3"/>
    <x:s v="Annual"/>
    <x:s v="Manufacturing"/>
    <x:s v="1-10"/>
    <x:n v="1"/>
    <x:n v="424.15"/>
    <x:s v="Paid Ads"/>
    <x:s v="Latin America"/>
    <x:d v="2022-08-01T00:00:00"/>
    <x:x v="1"/>
    <x:m/>
    <x:s v=""/>
    <x:n v="2"/>
    <x:n v="1"/>
    <x:n v="65"/>
    <x:s v="No"/>
  </x:r>
  <x:r>
    <x:x v="525"/>
    <x:x v="0"/>
    <x:s v="Monthly"/>
    <x:s v="Real Estate"/>
    <x:s v="1-10"/>
    <x:n v="8"/>
    <x:n v="161.95"/>
    <x:s v="Paid Ads"/>
    <x:s v="Latin America"/>
    <x:d v="2023-05-01T00:00:00"/>
    <x:x v="0"/>
    <x:d v="2023-06-24T00:00:00"/>
    <x:s v="Budget Cuts"/>
    <x:n v="3"/>
    <x:n v="1"/>
    <x:n v="27"/>
    <x:s v="No"/>
  </x:r>
  <x:r>
    <x:x v="526"/>
    <x:x v="2"/>
    <x:s v="Annual"/>
    <x:s v="Media"/>
    <x:s v="201-500"/>
    <x:n v="50"/>
    <x:n v="1412.4"/>
    <x:s v="Paid Ads"/>
    <x:s v="Europe"/>
    <x:d v="2025-10-13T00:00:00"/>
    <x:x v="1"/>
    <x:m/>
    <x:s v=""/>
    <x:n v="12"/>
    <x:n v="5"/>
    <x:n v="91"/>
    <x:s v="No"/>
  </x:r>
  <x:r>
    <x:x v="527"/>
    <x:x v="1"/>
    <x:s v="Monthly"/>
    <x:s v="Legal"/>
    <x:s v="1-10"/>
    <x:n v="7"/>
    <x:n v="55.1"/>
    <x:s v="Referral"/>
    <x:s v="Asia Pacific"/>
    <x:d v="2023-12-16T00:00:00"/>
    <x:x v="0"/>
    <x:d v="2025-08-02T00:00:00"/>
    <x:s v="Company Closed"/>
    <x:n v="6"/>
    <x:n v="3"/>
    <x:n v="36"/>
    <x:s v="No"/>
  </x:r>
  <x:r>
    <x:x v="528"/>
    <x:x v="2"/>
    <x:s v="Annual"/>
    <x:s v="Consulting"/>
    <x:s v="51-200"/>
    <x:n v="49"/>
    <x:n v="1387.03"/>
    <x:s v="Referral"/>
    <x:s v="Latin America"/>
    <x:d v="2025-02-26T00:00:00"/>
    <x:x v="1"/>
    <x:m/>
    <x:s v=""/>
    <x:n v="12"/>
    <x:n v="9"/>
    <x:n v="82"/>
    <x:s v="No"/>
  </x:r>
  <x:r>
    <x:x v="529"/>
    <x:x v="3"/>
    <x:s v="Monthly"/>
    <x:s v="Legal"/>
    <x:s v="11-50"/>
    <x:n v="31"/>
    <x:n v="2744.5"/>
    <x:s v="Partner"/>
    <x:s v="Europe"/>
    <x:d v="2023-04-28T00:00:00"/>
    <x:x v="1"/>
    <x:m/>
    <x:s v=""/>
    <x:n v="11"/>
    <x:n v="3"/>
    <x:n v="15"/>
    <x:s v="No"/>
  </x:r>
  <x:r>
    <x:x v="530"/>
    <x:x v="0"/>
    <x:s v="Monthly"/>
    <x:s v="Real Estate"/>
    <x:s v="11-50"/>
    <x:n v="20"/>
    <x:n v="304.15"/>
    <x:s v="Organic Search"/>
    <x:s v="North America"/>
    <x:d v="2023-08-12T00:00:00"/>
    <x:x v="1"/>
    <x:m/>
    <x:s v=""/>
    <x:n v="10"/>
    <x:n v="1"/>
    <x:n v="76"/>
    <x:s v="No"/>
  </x:r>
  <x:r>
    <x:x v="531"/>
    <x:x v="1"/>
    <x:s v="Annual"/>
    <x:s v="Legal"/>
    <x:s v="51-200"/>
    <x:n v="67"/>
    <x:n v="268.69"/>
    <x:s v="Partner"/>
    <x:s v="Asia Pacific"/>
    <x:d v="2024-08-19T00:00:00"/>
    <x:x v="1"/>
    <x:m/>
    <x:s v=""/>
    <x:n v="3"/>
    <x:n v="6"/>
    <x:n v="55"/>
    <x:s v="No"/>
  </x:r>
  <x:r>
    <x:x v="532"/>
    <x:x v="3"/>
    <x:s v="Monthly"/>
    <x:s v="Healthcare"/>
    <x:s v="201-500"/>
    <x:n v="85"/>
    <x:n v="6786.4"/>
    <x:s v="Direct Sales"/>
    <x:s v="Europe"/>
    <x:d v="2024-07-17T00:00:00"/>
    <x:x v="1"/>
    <x:m/>
    <x:s v=""/>
    <x:n v="4"/>
    <x:n v="7"/>
    <x:n v="54"/>
    <x:s v="Yes"/>
  </x:r>
  <x:r>
    <x:x v="533"/>
    <x:x v="1"/>
    <x:s v="Monthly"/>
    <x:s v="Real Estate"/>
    <x:s v="1-10"/>
    <x:n v="2"/>
    <x:n v="33.35"/>
    <x:s v="Organic Search"/>
    <x:s v="Asia Pacific"/>
    <x:d v="2023-06-17T00:00:00"/>
    <x:x v="0"/>
    <x:d v="2023-07-27T00:00:00"/>
    <x:s v="Company Closed"/>
    <x:n v="13"/>
    <x:n v="2"/>
    <x:n v="17"/>
    <x:s v="No"/>
  </x:r>
  <x:r>
    <x:x v="534"/>
    <x:x v="3"/>
    <x:s v="Annual"/>
    <x:s v="Finance"/>
    <x:s v="201-500"/>
    <x:n v="52"/>
    <x:n v="3668.9"/>
    <x:s v="Referral"/>
    <x:s v="Europe"/>
    <x:d v="2024-07-25T00:00:00"/>
    <x:x v="1"/>
    <x:m/>
    <x:s v=""/>
    <x:n v="9"/>
    <x:n v="7"/>
    <x:n v="93"/>
    <x:s v="No"/>
  </x:r>
  <x:r>
    <x:x v="535"/>
    <x:x v="1"/>
    <x:s v="Annual"/>
    <x:s v="Real Estate"/>
    <x:s v="51-200"/>
    <x:n v="58"/>
    <x:n v="235.41"/>
    <x:s v="Social Media"/>
    <x:s v="Asia Pacific"/>
    <x:d v="2022-11-05T00:00:00"/>
    <x:x v="0"/>
    <x:d v="2022-11-06T00:00:00"/>
    <x:s v="Company Closed"/>
    <x:n v="4"/>
    <x:n v="5"/>
    <x:n v="20"/>
    <x:s v="No"/>
  </x:r>
  <x:r>
    <x:x v="536"/>
    <x:x v="1"/>
    <x:s v="Monthly"/>
    <x:s v="Legal"/>
    <x:s v="11-50"/>
    <x:n v="26"/>
    <x:n v="137.75"/>
    <x:s v="Paid Ads"/>
    <x:s v="North America"/>
    <x:d v="2023-06-14T00:00:00"/>
    <x:x v="0"/>
    <x:d v="2023-06-14T00:00:00"/>
    <x:s v="Price Too High"/>
    <x:n v="0"/>
    <x:n v="3"/>
    <x:n v="23"/>
    <x:s v="No"/>
  </x:r>
  <x:r>
    <x:x v="537"/>
    <x:x v="0"/>
    <x:s v="Monthly"/>
    <x:s v="Real Estate"/>
    <x:s v="1-10"/>
    <x:n v="8"/>
    <x:n v="161.95"/>
    <x:s v="Paid Ads"/>
    <x:s v="Europe"/>
    <x:d v="2025-05-04T00:00:00"/>
    <x:x v="0"/>
    <x:d v="2025-08-08T00:00:00"/>
    <x:s v="Price Too High"/>
    <x:n v="5"/>
    <x:n v="2"/>
    <x:n v="49"/>
    <x:s v="No"/>
  </x:r>
  <x:r>
    <x:x v="538"/>
    <x:x v="2"/>
    <x:s v="Annual"/>
    <x:s v="Healthcare"/>
    <x:s v="51-200"/>
    <x:n v="20"/>
    <x:n v="651.23"/>
    <x:s v="Social Media"/>
    <x:s v="North America"/>
    <x:d v="2024-05-25T00:00:00"/>
    <x:x v="1"/>
    <x:m/>
    <x:s v=""/>
    <x:n v="8"/>
    <x:n v="9"/>
    <x:n v="90"/>
    <x:s v="No"/>
  </x:r>
  <x:r>
    <x:x v="539"/>
    <x:x v="1"/>
    <x:s v="Monthly"/>
    <x:s v="Consulting"/>
    <x:s v="51-200"/>
    <x:n v="68"/>
    <x:n v="320.45"/>
    <x:s v="Paid Ads"/>
    <x:s v="North America"/>
    <x:d v="2024-09-04T00:00:00"/>
    <x:x v="0"/>
    <x:d v="2025-05-10T00:00:00"/>
    <x:s v="No Longer Needed"/>
    <x:n v="9"/>
    <x:n v="4"/>
    <x:n v="50"/>
    <x:s v="No"/>
  </x:r>
  <x:r>
    <x:x v="540"/>
    <x:x v="0"/>
    <x:s v="Monthly"/>
    <x:s v="Manufacturing"/>
    <x:s v="201-500"/>
    <x:n v="30"/>
    <x:n v="422.65"/>
    <x:s v="Referral"/>
    <x:s v="North America"/>
    <x:d v="2023-08-28T00:00:00"/>
    <x:x v="0"/>
    <x:d v="2024-11-10T00:00:00"/>
    <x:s v="Budget Cuts"/>
    <x:n v="8"/>
    <x:n v="1"/>
    <x:n v="50"/>
    <x:s v="No"/>
  </x:r>
  <x:r>
    <x:x v="541"/>
    <x:x v="1"/>
    <x:s v="Monthly"/>
    <x:s v="Education"/>
    <x:s v="11-50"/>
    <x:n v="28"/>
    <x:n v="146.45"/>
    <x:s v="Direct Sales"/>
    <x:s v="North America"/>
    <x:d v="2025-10-24T00:00:00"/>
    <x:x v="1"/>
    <x:m/>
    <x:s v=""/>
    <x:n v="7"/>
    <x:n v="1"/>
    <x:n v="91"/>
    <x:s v="No"/>
  </x:r>
  <x:r>
    <x:x v="542"/>
    <x:x v="3"/>
    <x:s v="Annual"/>
    <x:s v="Real Estate"/>
    <x:s v="1-10"/>
    <x:n v="1"/>
    <x:n v="424.15"/>
    <x:s v="Partner"/>
    <x:s v="North America"/>
    <x:d v="2022-11-05T00:00:00"/>
    <x:x v="0"/>
    <x:d v="2025-05-10T00:00:00"/>
    <x:s v="No Longer Needed"/>
    <x:n v="9"/>
    <x:n v="3"/>
    <x:n v="24"/>
    <x:s v="No"/>
  </x:r>
  <x:r>
    <x:x v="543"/>
    <x:x v="2"/>
    <x:s v="Annual"/>
    <x:s v="Real Estate"/>
    <x:s v="11-50"/>
    <x:n v="16"/>
    <x:n v="549.74"/>
    <x:s v="Referral"/>
    <x:s v="Europe"/>
    <x:d v="2023-12-30T00:00:00"/>
    <x:x v="1"/>
    <x:m/>
    <x:s v=""/>
    <x:n v="4"/>
    <x:n v="3"/>
    <x:n v="25"/>
    <x:s v="No"/>
  </x:r>
  <x:r>
    <x:x v="544"/>
    <x:x v="1"/>
    <x:s v="Monthly"/>
    <x:s v="Technology"/>
    <x:s v="1-10"/>
    <x:n v="1"/>
    <x:n v="29"/>
    <x:s v="Referral"/>
    <x:s v="Europe"/>
    <x:d v="2022-05-04T00:00:00"/>
    <x:x v="0"/>
    <x:d v="2022-12-14T00:00:00"/>
    <x:s v="Price Too High"/>
    <x:n v="14"/>
    <x:n v="2"/>
    <x:n v="10"/>
    <x:s v="No"/>
  </x:r>
  <x:r>
    <x:x v="545"/>
    <x:x v="0"/>
    <x:s v="Monthly"/>
    <x:s v="Technology"/>
    <x:s v="11-50"/>
    <x:n v="11"/>
    <x:n v="197.5"/>
    <x:s v="Direct Sales"/>
    <x:s v="Asia Pacific"/>
    <x:d v="2023-09-12T00:00:00"/>
    <x:x v="0"/>
    <x:d v="2024-04-25T00:00:00"/>
    <x:s v="Company Closed"/>
    <x:n v="12"/>
    <x:n v="2"/>
    <x:n v="10"/>
    <x:s v="No"/>
  </x:r>
  <x:r>
    <x:x v="546"/>
    <x:x v="3"/>
    <x:s v="Monthly"/>
    <x:s v="Retail"/>
    <x:s v="1-10"/>
    <x:n v="2"/>
    <x:n v="573.85"/>
    <x:s v="Organic Search"/>
    <x:s v="North America"/>
    <x:d v="2023-01-10T00:00:00"/>
    <x:x v="0"/>
    <x:d v="2025-02-18T00:00:00"/>
    <x:s v="Poor Support"/>
    <x:n v="10"/>
    <x:n v="3"/>
    <x:n v="22"/>
    <x:s v="No"/>
  </x:r>
  <x:r>
    <x:x v="547"/>
    <x:x v="2"/>
    <x:s v="Monthly"/>
    <x:s v="Media"/>
    <x:s v="11-50"/>
    <x:n v="31"/>
    <x:n v="1094.5"/>
    <x:s v="Paid Ads"/>
    <x:s v="Asia Pacific"/>
    <x:d v="2022-11-24T00:00:00"/>
    <x:x v="1"/>
    <x:m/>
    <x:s v=""/>
    <x:n v="1"/>
    <x:n v="6"/>
    <x:n v="49"/>
    <x:s v="No"/>
  </x:r>
  <x:r>
    <x:x v="548"/>
    <x:x v="1"/>
    <x:s v="Annual"/>
    <x:s v="Legal"/>
    <x:s v="11-50"/>
    <x:n v="30"/>
    <x:n v="131.88"/>
    <x:s v="Partner"/>
    <x:s v="North America"/>
    <x:d v="2022-03-20T00:00:00"/>
    <x:x v="0"/>
    <x:d v="2022-04-05T00:00:00"/>
    <x:s v="Company Closed"/>
    <x:n v="7"/>
    <x:n v="1"/>
    <x:n v="28"/>
    <x:s v="No"/>
  </x:r>
  <x:r>
    <x:x v="549"/>
    <x:x v="1"/>
    <x:s v="Monthly"/>
    <x:s v="Technology"/>
    <x:s v="11-50"/>
    <x:n v="31"/>
    <x:n v="159.5"/>
    <x:s v="Organic Search"/>
    <x:s v="Asia Pacific"/>
    <x:d v="2024-04-25T00:00:00"/>
    <x:x v="0"/>
    <x:d v="2024-09-02T00:00:00"/>
    <x:s v="No Longer Needed"/>
    <x:n v="1"/>
    <x:n v="6"/>
    <x:n v="33"/>
    <x:s v="No"/>
  </x:r>
  <x:r>
    <x:x v="550"/>
    <x:x v="0"/>
    <x:s v="Annual"/>
    <x:s v="Consulting"/>
    <x:s v="500+"/>
    <x:n v="187"/>
    <x:n v="1940.63"/>
    <x:s v="Paid Ads"/>
    <x:s v="North America"/>
    <x:d v="2025-10-08T00:00:00"/>
    <x:x v="1"/>
    <x:m/>
    <x:s v=""/>
    <x:n v="1"/>
    <x:n v="3"/>
    <x:n v="53"/>
    <x:s v="No"/>
  </x:r>
  <x:r>
    <x:x v="551"/>
    <x:x v="1"/>
    <x:s v="Monthly"/>
    <x:s v="Education"/>
    <x:s v="11-50"/>
    <x:n v="9"/>
    <x:n v="63.8"/>
    <x:s v="Direct Sales"/>
    <x:s v="North America"/>
    <x:d v="2025-03-10T00:00:00"/>
    <x:x v="1"/>
    <x:m/>
    <x:s v=""/>
    <x:n v="9"/>
    <x:n v="3"/>
    <x:n v="22"/>
    <x:s v="No"/>
  </x:r>
  <x:r>
    <x:x v="552"/>
    <x:x v="1"/>
    <x:s v="Annual"/>
    <x:s v="Technology"/>
    <x:s v="201-500"/>
    <x:n v="135"/>
    <x:n v="520.12"/>
    <x:s v="Social Media"/>
    <x:s v="Asia Pacific"/>
    <x:d v="2024-10-01T00:00:00"/>
    <x:x v="1"/>
    <x:m/>
    <x:s v=""/>
    <x:n v="10"/>
    <x:n v="4"/>
    <x:n v="86"/>
    <x:s v="No"/>
  </x:r>
  <x:r>
    <x:x v="553"/>
    <x:x v="1"/>
    <x:s v="Annual"/>
    <x:s v="Manufacturing"/>
    <x:s v="51-200"/>
    <x:n v="39"/>
    <x:n v="165.16"/>
    <x:s v="Paid Ads"/>
    <x:s v="North America"/>
    <x:d v="2022-02-17T00:00:00"/>
    <x:x v="0"/>
    <x:d v="2022-09-10T00:00:00"/>
    <x:s v="Company Closed"/>
    <x:n v="8"/>
    <x:n v="6"/>
    <x:n v="18"/>
    <x:s v="No"/>
  </x:r>
  <x:r>
    <x:x v="554"/>
    <x:x v="2"/>
    <x:s v="Annual"/>
    <x:s v="Retail"/>
    <x:s v="11-50"/>
    <x:n v="29"/>
    <x:n v="879.58"/>
    <x:s v="Referral"/>
    <x:s v="North America"/>
    <x:d v="2022-07-28T00:00:00"/>
    <x:x v="1"/>
    <x:m/>
    <x:s v=""/>
    <x:n v="2"/>
    <x:n v="5"/>
    <x:n v="71"/>
    <x:s v="No"/>
  </x:r>
  <x:r>
    <x:x v="555"/>
    <x:x v="2"/>
    <x:s v="Monthly"/>
    <x:s v="Consulting"/>
    <x:s v="500+"/>
    <x:n v="182"/>
    <x:n v="5601.85"/>
    <x:s v="Paid Ads"/>
    <x:s v="Latin America"/>
    <x:d v="2025-07-25T00:00:00"/>
    <x:x v="0"/>
    <x:d v="2025-07-28T00:00:00"/>
    <x:s v="Company Closed"/>
    <x:n v="4"/>
    <x:n v="1"/>
    <x:n v="21"/>
    <x:s v="No"/>
  </x:r>
  <x:r>
    <x:x v="556"/>
    <x:x v="1"/>
    <x:s v="Monthly"/>
    <x:s v="Finance"/>
    <x:s v="201-500"/>
    <x:n v="82"/>
    <x:n v="381.35"/>
    <x:s v="Referral"/>
    <x:s v="North America"/>
    <x:d v="2025-10-11T00:00:00"/>
    <x:x v="1"/>
    <x:m/>
    <x:s v=""/>
    <x:n v="1"/>
    <x:n v="6"/>
    <x:n v="33"/>
    <x:s v="No"/>
  </x:r>
  <x:r>
    <x:x v="557"/>
    <x:x v="2"/>
    <x:s v="Monthly"/>
    <x:s v="Education"/>
    <x:s v="201-500"/>
    <x:n v="74"/>
    <x:n v="2378.05"/>
    <x:s v="Organic Search"/>
    <x:s v="Europe"/>
    <x:d v="2025-04-25T00:00:00"/>
    <x:x v="1"/>
    <x:m/>
    <x:s v=""/>
    <x:n v="0"/>
    <x:n v="9"/>
    <x:n v="71"/>
    <x:s v="Yes"/>
  </x:r>
  <x:r>
    <x:x v="558"/>
    <x:x v="0"/>
    <x:s v="Annual"/>
    <x:s v="Healthcare"/>
    <x:s v="11-50"/>
    <x:n v="30"/>
    <x:n v="359.25"/>
    <x:s v="Partner"/>
    <x:s v="North America"/>
    <x:d v="2022-11-27T00:00:00"/>
    <x:x v="0"/>
    <x:d v="2023-09-11T00:00:00"/>
    <x:s v="Budget Cuts"/>
    <x:n v="11"/>
    <x:n v="1"/>
    <x:n v="26"/>
    <x:s v="No"/>
  </x:r>
  <x:r>
    <x:x v="559"/>
    <x:x v="1"/>
    <x:s v="Monthly"/>
    <x:s v="Legal"/>
    <x:s v="11-50"/>
    <x:n v="6"/>
    <x:n v="50.75"/>
    <x:s v="Organic Search"/>
    <x:s v="Asia Pacific"/>
    <x:d v="2024-08-12T00:00:00"/>
    <x:x v="0"/>
    <x:d v="2025-06-24T00:00:00"/>
    <x:s v="Price Too High"/>
    <x:n v="9"/>
    <x:n v="1"/>
    <x:n v="45"/>
    <x:s v="No"/>
  </x:r>
  <x:r>
    <x:x v="560"/>
    <x:x v="3"/>
    <x:s v="Monthly"/>
    <x:s v="Legal"/>
    <x:s v="11-50"/>
    <x:n v="17"/>
    <x:n v="1696.6"/>
    <x:s v="Organic Search"/>
    <x:s v="Asia Pacific"/>
    <x:d v="2023-07-21T00:00:00"/>
    <x:x v="1"/>
    <x:m/>
    <x:s v=""/>
    <x:n v="9"/>
    <x:n v="3"/>
    <x:n v="41"/>
    <x:s v="No"/>
  </x:r>
  <x:r>
    <x:x v="561"/>
    <x:x v="2"/>
    <x:s v="Monthly"/>
    <x:s v="Healthcare"/>
    <x:s v="51-200"/>
    <x:n v="30"/>
    <x:n v="1064.65"/>
    <x:s v="Referral"/>
    <x:s v="North America"/>
    <x:d v="2025-10-12T00:00:00"/>
    <x:x v="1"/>
    <x:m/>
    <x:s v=""/>
    <x:n v="6"/>
    <x:n v="10"/>
    <x:n v="17"/>
    <x:s v="No"/>
  </x:r>
  <x:r>
    <x:x v="562"/>
    <x:x v="1"/>
    <x:s v="Monthly"/>
    <x:s v="Technology"/>
    <x:s v="1-10"/>
    <x:n v="8"/>
    <x:n v="59.45"/>
    <x:s v="Organic Search"/>
    <x:s v="Asia Pacific"/>
    <x:d v="2024-11-09T00:00:00"/>
    <x:x v="0"/>
    <x:d v="2025-05-14T00:00:00"/>
    <x:s v="Switched Competitor"/>
    <x:n v="3"/>
    <x:n v="5"/>
    <x:n v="27"/>
    <x:s v="No"/>
  </x:r>
  <x:r>
    <x:x v="563"/>
    <x:x v="0"/>
    <x:s v="Monthly"/>
    <x:s v="Technology"/>
    <x:s v="1-10"/>
    <x:n v="8"/>
    <x:n v="161.95"/>
    <x:s v="Paid Ads"/>
    <x:s v="Europe"/>
    <x:d v="2025-03-17T00:00:00"/>
    <x:x v="1"/>
    <x:m/>
    <x:s v=""/>
    <x:n v="10"/>
    <x:n v="10"/>
    <x:n v="78"/>
    <x:s v="No"/>
  </x:r>
  <x:r>
    <x:x v="564"/>
    <x:x v="2"/>
    <x:s v="Monthly"/>
    <x:s v="Manufacturing"/>
    <x:s v="1-10"/>
    <x:n v="6"/>
    <x:n v="348.25"/>
    <x:s v="Referral"/>
    <x:s v="Asia Pacific"/>
    <x:d v="2023-10-27T00:00:00"/>
    <x:x v="0"/>
    <x:d v="2025-11-02T00:00:00"/>
    <x:s v="Price Too High"/>
    <x:n v="10"/>
    <x:n v="1"/>
    <x:n v="19"/>
    <x:s v="No"/>
  </x:r>
  <x:r>
    <x:x v="565"/>
    <x:x v="0"/>
    <x:s v="Monthly"/>
    <x:s v="Real Estate"/>
    <x:s v="1-10"/>
    <x:n v="8"/>
    <x:n v="161.95"/>
    <x:s v="Organic Search"/>
    <x:s v="Europe"/>
    <x:d v="2022-08-24T00:00:00"/>
    <x:x v="0"/>
    <x:d v="2022-09-23T00:00:00"/>
    <x:s v="Budget Cuts"/>
    <x:n v="1"/>
    <x:n v="3"/>
    <x:n v="15"/>
    <x:s v="No"/>
  </x:r>
  <x:r>
    <x:x v="566"/>
    <x:x v="1"/>
    <x:s v="Annual"/>
    <x:s v="Manufacturing"/>
    <x:s v="11-50"/>
    <x:n v="27"/>
    <x:n v="120.78"/>
    <x:s v="Direct Sales"/>
    <x:s v="Europe"/>
    <x:d v="2024-06-22T00:00:00"/>
    <x:x v="0"/>
    <x:d v="2024-08-18T00:00:00"/>
    <x:s v="Budget Cuts"/>
    <x:n v="10"/>
    <x:n v="4"/>
    <x:n v="11"/>
    <x:s v="No"/>
  </x:r>
  <x:r>
    <x:x v="567"/>
    <x:x v="1"/>
    <x:s v="Annual"/>
    <x:s v="Education"/>
    <x:s v="51-200"/>
    <x:n v="50"/>
    <x:n v="205.83"/>
    <x:s v="Referral"/>
    <x:s v="North America"/>
    <x:d v="2025-05-25T00:00:00"/>
    <x:x v="1"/>
    <x:m/>
    <x:s v=""/>
    <x:n v="5"/>
    <x:n v="8"/>
    <x:n v="66"/>
    <x:s v="No"/>
  </x:r>
  <x:r>
    <x:x v="568"/>
    <x:x v="0"/>
    <x:s v="Monthly"/>
    <x:s v="Healthcare"/>
    <x:s v="11-50"/>
    <x:n v="13"/>
    <x:n v="221.2"/>
    <x:s v="Organic Search"/>
    <x:s v="Europe"/>
    <x:d v="2025-05-31T00:00:00"/>
    <x:x v="1"/>
    <x:m/>
    <x:s v=""/>
    <x:n v="5"/>
    <x:n v="5"/>
    <x:n v="53"/>
    <x:s v="No"/>
  </x:r>
  <x:r>
    <x:x v="569"/>
    <x:x v="2"/>
    <x:s v="Annual"/>
    <x:s v="Technology"/>
    <x:s v="11-50"/>
    <x:n v="23"/>
    <x:n v="727.34"/>
    <x:s v="Organic Search"/>
    <x:s v="North America"/>
    <x:d v="2024-05-07T00:00:00"/>
    <x:x v="1"/>
    <x:m/>
    <x:s v=""/>
    <x:n v="2"/>
    <x:n v="5"/>
    <x:n v="19"/>
    <x:s v="No"/>
  </x:r>
  <x:r>
    <x:x v="570"/>
    <x:x v="1"/>
    <x:s v="Monthly"/>
    <x:s v="Legal"/>
    <x:s v="1-10"/>
    <x:n v="2"/>
    <x:n v="33.35"/>
    <x:s v="Referral"/>
    <x:s v="North America"/>
    <x:d v="2022-02-06T00:00:00"/>
    <x:x v="0"/>
    <x:d v="2022-02-14T00:00:00"/>
    <x:s v="Switched Competitor"/>
    <x:n v="15"/>
    <x:n v="1"/>
    <x:n v="15"/>
    <x:s v="No"/>
  </x:r>
  <x:r>
    <x:x v="571"/>
    <x:x v="1"/>
    <x:s v="Monthly"/>
    <x:s v="Manufacturing"/>
    <x:s v="1-10"/>
    <x:n v="3"/>
    <x:n v="37.7"/>
    <x:s v="Social Media"/>
    <x:s v="Asia Pacific"/>
    <x:d v="2022-11-08T00:00:00"/>
    <x:x v="0"/>
    <x:d v="2023-08-16T00:00:00"/>
    <x:s v="Switched Competitor"/>
    <x:n v="6"/>
    <x:n v="5"/>
    <x:n v="33"/>
    <x:s v="No"/>
  </x:r>
  <x:r>
    <x:x v="572"/>
    <x:x v="0"/>
    <x:s v="Annual"/>
    <x:s v="Consulting"/>
    <x:s v="51-200"/>
    <x:n v="34"/>
    <x:n v="399.54"/>
    <x:s v="Partner"/>
    <x:s v="Asia Pacific"/>
    <x:d v="2022-08-16T00:00:00"/>
    <x:x v="1"/>
    <x:m/>
    <x:s v=""/>
    <x:n v="6"/>
    <x:n v="5"/>
    <x:n v="39"/>
    <x:s v="No"/>
  </x:r>
  <x:r>
    <x:x v="573"/>
    <x:x v="3"/>
    <x:s v="Monthly"/>
    <x:s v="Education"/>
    <x:s v="51-200"/>
    <x:n v="78"/>
    <x:n v="6262.45"/>
    <x:s v="Paid Ads"/>
    <x:s v="North America"/>
    <x:d v="2023-10-05T00:00:00"/>
    <x:x v="1"/>
    <x:m/>
    <x:s v=""/>
    <x:n v="1"/>
    <x:n v="9"/>
    <x:n v="50"/>
    <x:s v="Yes"/>
  </x:r>
  <x:r>
    <x:x v="574"/>
    <x:x v="2"/>
    <x:s v="Annual"/>
    <x:s v="Consulting"/>
    <x:s v="51-200"/>
    <x:n v="38"/>
    <x:n v="1107.93"/>
    <x:s v="Referral"/>
    <x:s v="North America"/>
    <x:d v="2025-11-09T00:00:00"/>
    <x:x v="1"/>
    <x:m/>
    <x:s v=""/>
    <x:n v="11"/>
    <x:n v="8"/>
    <x:n v="26"/>
    <x:s v="No"/>
  </x:r>
  <x:r>
    <x:x v="575"/>
    <x:x v="1"/>
    <x:s v="Annual"/>
    <x:s v="Manufacturing"/>
    <x:s v="1-10"/>
    <x:n v="4"/>
    <x:n v="35.74"/>
    <x:s v="Partner"/>
    <x:s v="North America"/>
    <x:d v="2024-05-26T00:00:00"/>
    <x:x v="0"/>
    <x:d v="2024-06-14T00:00:00"/>
    <x:s v="Price Too High"/>
    <x:n v="1"/>
    <x:n v="5"/>
    <x:n v="35"/>
    <x:s v="No"/>
  </x:r>
  <x:r>
    <x:x v="576"/>
    <x:x v="1"/>
    <x:s v="Annual"/>
    <x:s v="Finance"/>
    <x:s v="201-500"/>
    <x:n v="123"/>
    <x:n v="475.74"/>
    <x:s v="Paid Ads"/>
    <x:s v="North America"/>
    <x:d v="2022-08-18T00:00:00"/>
    <x:x v="0"/>
    <x:d v="2023-08-30T00:00:00"/>
    <x:s v="Price Too High"/>
    <x:n v="5"/>
    <x:n v="3"/>
    <x:n v="22"/>
    <x:s v="No"/>
  </x:r>
  <x:r>
    <x:x v="577"/>
    <x:x v="0"/>
    <x:s v="Monthly"/>
    <x:s v="Education"/>
    <x:s v="500+"/>
    <x:n v="74"/>
    <x:n v="944.05"/>
    <x:s v="Organic Search"/>
    <x:s v="North America"/>
    <x:d v="2024-03-08T00:00:00"/>
    <x:x v="0"/>
    <x:d v="2025-10-26T00:00:00"/>
    <x:s v="Missing Features"/>
    <x:n v="9"/>
    <x:n v="3"/>
    <x:n v="38"/>
    <x:s v="No"/>
  </x:r>
  <x:r>
    <x:x v="578"/>
    <x:x v="0"/>
    <x:s v="Monthly"/>
    <x:s v="Finance"/>
    <x:s v="11-50"/>
    <x:n v="9"/>
    <x:n v="173.8"/>
    <x:s v="Direct Sales"/>
    <x:s v="North America"/>
    <x:d v="2025-09-22T00:00:00"/>
    <x:x v="1"/>
    <x:m/>
    <x:s v=""/>
    <x:n v="8"/>
    <x:n v="8"/>
    <x:n v="74"/>
    <x:s v="No"/>
  </x:r>
  <x:r>
    <x:x v="579"/>
    <x:x v="0"/>
    <x:s v="Monthly"/>
    <x:s v="Education"/>
    <x:s v="201-500"/>
    <x:n v="33"/>
    <x:n v="458.2"/>
    <x:s v="Referral"/>
    <x:s v="North America"/>
    <x:d v="2024-03-20T00:00:00"/>
    <x:x v="0"/>
    <x:d v="2024-09-30T00:00:00"/>
    <x:s v="Price Too High"/>
    <x:n v="13"/>
    <x:n v="2"/>
    <x:n v="39"/>
    <x:s v="No"/>
  </x:r>
  <x:r>
    <x:x v="580"/>
    <x:x v="2"/>
    <x:s v="Monthly"/>
    <x:s v="Technology"/>
    <x:s v="201-500"/>
    <x:n v="105"/>
    <x:n v="3303.4"/>
    <x:s v="Direct Sales"/>
    <x:s v="Asia Pacific"/>
    <x:d v="2024-11-10T00:00:00"/>
    <x:x v="1"/>
    <x:m/>
    <x:s v=""/>
    <x:n v="0"/>
    <x:n v="8"/>
    <x:n v="75"/>
    <x:s v="Yes"/>
  </x:r>
  <x:r>
    <x:x v="581"/>
    <x:x v="0"/>
    <x:s v="Monthly"/>
    <x:s v="Consulting"/>
    <x:s v="11-50"/>
    <x:n v="35"/>
    <x:n v="481.9"/>
    <x:s v="Partner"/>
    <x:s v="North America"/>
    <x:d v="2023-11-19T00:00:00"/>
    <x:x v="0"/>
    <x:d v="2025-07-16T00:00:00"/>
    <x:s v="Poor Support"/>
    <x:n v="0"/>
    <x:n v="2"/>
    <x:n v="32"/>
    <x:s v="No"/>
  </x:r>
  <x:r>
    <x:x v="582"/>
    <x:x v="0"/>
    <x:s v="Monthly"/>
    <x:s v="Finance"/>
    <x:s v="1-10"/>
    <x:n v="4"/>
    <x:n v="114.55"/>
    <x:s v="Social Media"/>
    <x:s v="North America"/>
    <x:d v="2025-06-17T00:00:00"/>
    <x:x v="0"/>
    <x:d v="2025-06-19T00:00:00"/>
    <x:s v="Price Too High"/>
    <x:n v="3"/>
    <x:n v="5"/>
    <x:n v="50"/>
    <x:s v="No"/>
  </x:r>
  <x:r>
    <x:x v="583"/>
    <x:x v="2"/>
    <x:s v="Monthly"/>
    <x:s v="Media"/>
    <x:s v="11-50"/>
    <x:n v="18"/>
    <x:n v="706.45"/>
    <x:s v="Organic Search"/>
    <x:s v="North America"/>
    <x:d v="2025-10-26T00:00:00"/>
    <x:x v="1"/>
    <x:m/>
    <x:s v=""/>
    <x:n v="0"/>
    <x:n v="1"/>
    <x:n v="37"/>
    <x:s v="No"/>
  </x:r>
  <x:r>
    <x:x v="584"/>
    <x:x v="2"/>
    <x:s v="Monthly"/>
    <x:s v="Technology"/>
    <x:s v="11-50"/>
    <x:n v="5"/>
    <x:n v="318.4"/>
    <x:s v="Direct Sales"/>
    <x:s v="North America"/>
    <x:d v="2023-11-16T00:00:00"/>
    <x:x v="1"/>
    <x:m/>
    <x:s v=""/>
    <x:n v="0"/>
    <x:n v="4"/>
    <x:n v="77"/>
    <x:s v="Yes"/>
  </x:r>
  <x:r>
    <x:x v="585"/>
    <x:x v="1"/>
    <x:s v="Monthly"/>
    <x:s v="Healthcare"/>
    <x:s v="201-500"/>
    <x:n v="116"/>
    <x:n v="529.25"/>
    <x:s v="Paid Ads"/>
    <x:s v="North America"/>
    <x:d v="2025-10-11T00:00:00"/>
    <x:x v="1"/>
    <x:m/>
    <x:s v=""/>
    <x:n v="6"/>
    <x:n v="3"/>
    <x:n v="68"/>
    <x:s v="No"/>
  </x:r>
  <x:r>
    <x:x v="586"/>
    <x:x v="2"/>
    <x:s v="Monthly"/>
    <x:s v="Technology"/>
    <x:s v="1-10"/>
    <x:n v="1"/>
    <x:n v="199"/>
    <x:s v="Referral"/>
    <x:s v="Latin America"/>
    <x:d v="2022-09-04T00:00:00"/>
    <x:x v="1"/>
    <x:m/>
    <x:s v=""/>
    <x:n v="2"/>
    <x:n v="6"/>
    <x:n v="84"/>
    <x:s v="Yes"/>
  </x:r>
  <x:r>
    <x:x v="587"/>
    <x:x v="2"/>
    <x:s v="Monthly"/>
    <x:s v="Retail"/>
    <x:s v="11-50"/>
    <x:n v="33"/>
    <x:n v="1154.2"/>
    <x:s v="Organic Search"/>
    <x:s v="Latin America"/>
    <x:d v="2023-01-17T00:00:00"/>
    <x:x v="0"/>
    <x:d v="2025-07-19T00:00:00"/>
    <x:s v="Switched Competitor"/>
    <x:n v="1"/>
    <x:n v="3"/>
    <x:n v="37"/>
    <x:s v="No"/>
  </x:r>
  <x:r>
    <x:x v="588"/>
    <x:x v="1"/>
    <x:s v="Annual"/>
    <x:s v="Healthcare"/>
    <x:s v="1-10"/>
    <x:n v="7"/>
    <x:n v="46.83"/>
    <x:s v="Referral"/>
    <x:s v="Latin America"/>
    <x:d v="2023-11-21T00:00:00"/>
    <x:x v="0"/>
    <x:d v="2024-07-08T00:00:00"/>
    <x:s v="Budget Cuts"/>
    <x:n v="11"/>
    <x:n v="1"/>
    <x:n v="18"/>
    <x:s v="No"/>
  </x:r>
  <x:r>
    <x:x v="589"/>
    <x:x v="1"/>
    <x:s v="Monthly"/>
    <x:s v="Consulting"/>
    <x:s v="11-50"/>
    <x:n v="21"/>
    <x:n v="116"/>
    <x:s v="Organic Search"/>
    <x:s v="Latin America"/>
    <x:d v="2023-09-20T00:00:00"/>
    <x:x v="0"/>
    <x:d v="2023-11-21T00:00:00"/>
    <x:s v="No Longer Needed"/>
    <x:n v="11"/>
    <x:n v="3"/>
    <x:n v="16"/>
    <x:s v="No"/>
  </x:r>
  <x:r>
    <x:x v="590"/>
    <x:x v="2"/>
    <x:s v="Monthly"/>
    <x:s v="Technology"/>
    <x:s v="11-50"/>
    <x:n v="6"/>
    <x:n v="348.25"/>
    <x:s v="Organic Search"/>
    <x:s v="North America"/>
    <x:d v="2023-11-22T00:00:00"/>
    <x:x v="1"/>
    <x:m/>
    <x:s v=""/>
    <x:n v="1"/>
    <x:n v="2"/>
    <x:n v="27"/>
    <x:s v="Yes"/>
  </x:r>
  <x:r>
    <x:x v="591"/>
    <x:x v="0"/>
    <x:s v="Monthly"/>
    <x:s v="Media"/>
    <x:s v="11-50"/>
    <x:n v="6"/>
    <x:n v="138.25"/>
    <x:s v="Partner"/>
    <x:s v="Europe"/>
    <x:d v="2022-10-02T00:00:00"/>
    <x:x v="0"/>
    <x:d v="2024-02-13T00:00:00"/>
    <x:s v="Poor Support"/>
    <x:n v="5"/>
    <x:n v="3"/>
    <x:n v="11"/>
    <x:s v="No"/>
  </x:r>
  <x:r>
    <x:x v="592"/>
    <x:x v="2"/>
    <x:s v="Monthly"/>
    <x:s v="Real Estate"/>
    <x:s v="51-200"/>
    <x:n v="47"/>
    <x:n v="1572.1"/>
    <x:s v="Organic Search"/>
    <x:s v="North America"/>
    <x:d v="2023-02-07T00:00:00"/>
    <x:x v="1"/>
    <x:m/>
    <x:s v=""/>
    <x:n v="1"/>
    <x:n v="9"/>
    <x:n v="27"/>
    <x:s v="No"/>
  </x:r>
  <x:r>
    <x:x v="593"/>
    <x:x v="2"/>
    <x:s v="Annual"/>
    <x:s v="Legal"/>
    <x:s v="51-200"/>
    <x:n v="76"/>
    <x:n v="2072.09"/>
    <x:s v="Organic Search"/>
    <x:s v="Asia Pacific"/>
    <x:d v="2022-12-14T00:00:00"/>
    <x:x v="0"/>
    <x:d v="2023-04-10T00:00:00"/>
    <x:s v="Price Too High"/>
    <x:n v="4"/>
    <x:n v="2"/>
    <x:n v="35"/>
    <x:s v="No"/>
  </x:r>
  <x:r>
    <x:x v="594"/>
    <x:x v="2"/>
    <x:s v="Monthly"/>
    <x:s v="Manufacturing"/>
    <x:s v="11-50"/>
    <x:n v="11"/>
    <x:n v="497.5"/>
    <x:s v="Organic Search"/>
    <x:s v="Europe"/>
    <x:d v="2023-04-11T00:00:00"/>
    <x:x v="0"/>
    <x:d v="2024-11-14T00:00:00"/>
    <x:s v="Missing Features"/>
    <x:n v="3"/>
    <x:n v="3"/>
    <x:n v="48"/>
    <x:s v="No"/>
  </x:r>
  <x:r>
    <x:x v="595"/>
    <x:x v="0"/>
    <x:s v="Annual"/>
    <x:s v="Healthcare"/>
    <x:s v="11-50"/>
    <x:n v="32"/>
    <x:n v="379.4"/>
    <x:s v="Referral"/>
    <x:s v="North America"/>
    <x:d v="2024-12-05T00:00:00"/>
    <x:x v="1"/>
    <x:m/>
    <x:s v=""/>
    <x:n v="3"/>
    <x:n v="6"/>
    <x:n v="65"/>
    <x:s v="Yes"/>
  </x:r>
  <x:r>
    <x:x v="596"/>
    <x:x v="0"/>
    <x:s v="Annual"/>
    <x:s v="Technology"/>
    <x:s v="201-500"/>
    <x:n v="106"/>
    <x:n v="1124.76"/>
    <x:s v="Direct Sales"/>
    <x:s v="Europe"/>
    <x:d v="2023-06-25T00:00:00"/>
    <x:x v="1"/>
    <x:m/>
    <x:s v=""/>
    <x:n v="3"/>
    <x:n v="3"/>
    <x:n v="57"/>
    <x:s v="No"/>
  </x:r>
  <x:r>
    <x:x v="597"/>
    <x:x v="1"/>
    <x:s v="Monthly"/>
    <x:s v="Technology"/>
    <x:s v="201-500"/>
    <x:n v="84"/>
    <x:n v="390.05"/>
    <x:s v="Organic Search"/>
    <x:s v="Latin America"/>
    <x:d v="2023-09-05T00:00:00"/>
    <x:x v="1"/>
    <x:m/>
    <x:s v=""/>
    <x:n v="3"/>
    <x:n v="4"/>
    <x:n v="67"/>
    <x:s v="No"/>
  </x:r>
  <x:r>
    <x:x v="598"/>
    <x:x v="0"/>
    <x:s v="Annual"/>
    <x:s v="Retail"/>
    <x:s v="11-50"/>
    <x:n v="18"/>
    <x:n v="238.38"/>
    <x:s v="Organic Search"/>
    <x:s v="North America"/>
    <x:d v="2023-06-30T00:00:00"/>
    <x:x v="1"/>
    <x:m/>
    <x:s v=""/>
    <x:n v="11"/>
    <x:n v="4"/>
    <x:n v="50"/>
    <x:s v="No"/>
  </x:r>
  <x:r>
    <x:x v="599"/>
    <x:x v="1"/>
    <x:s v="Monthly"/>
    <x:s v="Media"/>
    <x:s v="500+"/>
    <x:n v="87"/>
    <x:n v="403.1"/>
    <x:s v="Partner"/>
    <x:s v="Europe"/>
    <x:d v="2025-11-15T00:00:00"/>
    <x:x v="1"/>
    <x:m/>
    <x:s v=""/>
    <x:n v="10"/>
    <x:n v="10"/>
    <x:n v="70"/>
    <x:s v="No"/>
  </x:r>
</x:pivotCacheRecords>
</file>

<file path=pivotCache/pivotCacheRecords2.xml><?xml version="1.0" encoding="utf-8"?>
<x:pivotCacheRecords xmlns:x="http://schemas.openxmlformats.org/spreadsheetml/2006/main" count="601">
  <x:r>
    <x:s v="CUST-0001"/>
    <x:x v="0"/>
    <x:x v="0"/>
    <x:s v="Retail"/>
    <x:s v="51-200"/>
    <x:n v="64"/>
    <x:n v="825.55"/>
    <x:s v="Organic Search"/>
    <x:s v="North America"/>
    <x:d v="2022-06-27T00:00:00"/>
    <x:s v="Yes"/>
    <x:d v="2024-03-05T00:00:00"/>
    <x:s v="Price Too High"/>
    <x:n v="13"/>
    <x:n v="3"/>
    <x:n v="15"/>
    <x:s v="No"/>
    <x:n v="1"/>
  </x:r>
  <x:r>
    <x:s v="CUST-0002"/>
    <x:x v="0"/>
    <x:x v="1"/>
    <x:s v="Retail"/>
    <x:s v="51-200"/>
    <x:n v="35"/>
    <x:n v="409.62"/>
    <x:s v="Direct Sales"/>
    <x:s v="North America"/>
    <x:d v="2023-03-19T00:00:00"/>
    <x:s v="No"/>
    <x:m/>
    <x:s v=""/>
    <x:n v="1"/>
    <x:n v="3"/>
    <x:n v="52"/>
    <x:s v="Yes"/>
    <x:n v="0"/>
  </x:r>
  <x:r>
    <x:s v="CUST-0003"/>
    <x:x v="1"/>
    <x:x v="1"/>
    <x:s v="Finance"/>
    <x:s v="500+"/>
    <x:n v="266"/>
    <x:n v="1004.49"/>
    <x:s v="Partner"/>
    <x:s v="North America"/>
    <x:d v="2024-10-19T00:00:00"/>
    <x:s v="Yes"/>
    <x:d v="2025-04-13T00:00:00"/>
    <x:s v="Price Too High"/>
    <x:n v="10"/>
    <x:n v="4"/>
    <x:n v="31"/>
    <x:s v="No"/>
    <x:n v="1"/>
  </x:r>
  <x:r>
    <x:s v="CUST-0004"/>
    <x:x v="2"/>
    <x:x v="1"/>
    <x:s v="Real Estate"/>
    <x:s v="11-50"/>
    <x:n v="34"/>
    <x:n v="1006.44"/>
    <x:s v="Partner"/>
    <x:s v="Europe"/>
    <x:d v="2023-01-07T00:00:00"/>
    <x:s v="No"/>
    <x:m/>
    <x:s v=""/>
    <x:n v="3"/>
    <x:n v="7"/>
    <x:n v="58"/>
    <x:s v="No"/>
    <x:n v="0"/>
  </x:r>
  <x:r>
    <x:s v="CUST-0005"/>
    <x:x v="1"/>
    <x:x v="1"/>
    <x:s v="Manufacturing"/>
    <x:s v="51-200"/>
    <x:n v="48"/>
    <x:n v="198.43"/>
    <x:s v="Direct Sales"/>
    <x:s v="North America"/>
    <x:d v="2025-09-23T00:00:00"/>
    <x:s v="No"/>
    <x:m/>
    <x:s v=""/>
    <x:n v="3"/>
    <x:n v="7"/>
    <x:n v="59"/>
    <x:s v="No"/>
    <x:n v="0"/>
  </x:r>
  <x:r>
    <x:s v="CUST-0006"/>
    <x:x v="2"/>
    <x:x v="1"/>
    <x:s v="Technology"/>
    <x:s v="1-10"/>
    <x:n v="3"/>
    <x:n v="219.9"/>
    <x:s v="Referral"/>
    <x:s v="North America"/>
    <x:d v="2023-09-28T00:00:00"/>
    <x:s v="No"/>
    <x:m/>
    <x:s v=""/>
    <x:n v="12"/>
    <x:n v="3"/>
    <x:n v="48"/>
    <x:s v="No"/>
    <x:n v="0"/>
  </x:r>
  <x:r>
    <x:s v="CUST-0007"/>
    <x:x v="1"/>
    <x:x v="0"/>
    <x:s v="Finance"/>
    <x:s v="201-500"/>
    <x:n v="121"/>
    <x:n v="551"/>
    <x:s v="Partner"/>
    <x:s v="Europe"/>
    <x:d v="2024-03-07T00:00:00"/>
    <x:s v="Yes"/>
    <x:d v="2025-04-08T00:00:00"/>
    <x:s v="Poor Support"/>
    <x:n v="0"/>
    <x:n v="2"/>
    <x:n v="14"/>
    <x:s v="No"/>
    <x:n v="1"/>
  </x:r>
  <x:r>
    <x:s v="CUST-0008"/>
    <x:x v="1"/>
    <x:x v="0"/>
    <x:s v="Technology"/>
    <x:s v="51-200"/>
    <x:n v="48"/>
    <x:n v="233.45"/>
    <x:s v="Referral"/>
    <x:s v="Europe"/>
    <x:d v="2025-04-08T00:00:00"/>
    <x:s v="Yes"/>
    <x:d v="2025-06-08T00:00:00"/>
    <x:s v="Price Too High"/>
    <x:n v="10"/>
    <x:n v="2"/>
    <x:n v="28"/>
    <x:s v="No"/>
    <x:n v="1"/>
  </x:r>
  <x:r>
    <x:s v="CUST-0009"/>
    <x:x v="1"/>
    <x:x v="0"/>
    <x:s v="Media"/>
    <x:s v="1-10"/>
    <x:n v="3"/>
    <x:n v="37.7"/>
    <x:s v="Partner"/>
    <x:s v="North America"/>
    <x:d v="2023-01-22T00:00:00"/>
    <x:s v="Yes"/>
    <x:d v="2023-04-21T00:00:00"/>
    <x:s v="Switched Competitor"/>
    <x:n v="5"/>
    <x:n v="6"/>
    <x:n v="15"/>
    <x:s v="No"/>
    <x:n v="1"/>
  </x:r>
  <x:r>
    <x:s v="CUST-0010"/>
    <x:x v="2"/>
    <x:x v="0"/>
    <x:s v="Healthcare"/>
    <x:s v="51-200"/>
    <x:n v="80"/>
    <x:n v="2557.15"/>
    <x:s v="Partner"/>
    <x:s v="North America"/>
    <x:d v="2022-06-27T00:00:00"/>
    <x:s v="Yes"/>
    <x:d v="2023-12-01T00:00:00"/>
    <x:s v="Budget Cuts"/>
    <x:n v="3"/>
    <x:n v="4"/>
    <x:n v="48"/>
    <x:s v="No"/>
    <x:n v="1"/>
  </x:r>
  <x:r>
    <x:s v="CUST-0011"/>
    <x:x v="2"/>
    <x:x v="1"/>
    <x:s v="Healthcare"/>
    <x:s v="201-500"/>
    <x:n v="77"/>
    <x:n v="2097.46"/>
    <x:s v="Organic Search"/>
    <x:s v="Asia Pacific"/>
    <x:d v="2022-12-07T00:00:00"/>
    <x:s v="Yes"/>
    <x:d v="2023-06-14T00:00:00"/>
    <x:s v="Company Closed"/>
    <x:n v="9"/>
    <x:n v="1"/>
    <x:n v="37"/>
    <x:s v="No"/>
    <x:n v="1"/>
  </x:r>
  <x:r>
    <x:s v="CUST-0012"/>
    <x:x v="2"/>
    <x:x v="1"/>
    <x:s v="Technology"/>
    <x:s v="11-50"/>
    <x:n v="30"/>
    <x:n v="904.95"/>
    <x:s v="Referral"/>
    <x:s v="North America"/>
    <x:d v="2023-11-17T00:00:00"/>
    <x:s v="No"/>
    <x:m/>
    <x:s v=""/>
    <x:n v="4"/>
    <x:n v="1"/>
    <x:n v="47"/>
    <x:s v="Yes"/>
    <x:n v="0"/>
  </x:r>
  <x:r>
    <x:s v="CUST-0013"/>
    <x:x v="2"/>
    <x:x v="0"/>
    <x:s v="Finance"/>
    <x:s v="1-10"/>
    <x:n v="4"/>
    <x:n v="288.55"/>
    <x:s v="Referral"/>
    <x:s v="Europe"/>
    <x:d v="2024-07-02T00:00:00"/>
    <x:s v="No"/>
    <x:m/>
    <x:s v=""/>
    <x:n v="10"/>
    <x:n v="9"/>
    <x:n v="84"/>
    <x:s v="Yes"/>
    <x:n v="0"/>
  </x:r>
  <x:r>
    <x:s v="CUST-0014"/>
    <x:x v="1"/>
    <x:x v="0"/>
    <x:s v="Retail"/>
    <x:s v="51-200"/>
    <x:n v="56"/>
    <x:n v="268.25"/>
    <x:s v="Paid Ads"/>
    <x:s v="Europe"/>
    <x:d v="2022-05-29T00:00:00"/>
    <x:s v="Yes"/>
    <x:d v="2022-09-27T00:00:00"/>
    <x:s v="Poor Support"/>
    <x:n v="1"/>
    <x:n v="2"/>
    <x:n v="21"/>
    <x:s v="No"/>
    <x:n v="1"/>
  </x:r>
  <x:r>
    <x:s v="CUST-0015"/>
    <x:x v="1"/>
    <x:x v="0"/>
    <x:s v="Education"/>
    <x:s v="1-10"/>
    <x:n v="6"/>
    <x:n v="50.75"/>
    <x:s v="Referral"/>
    <x:s v="North America"/>
    <x:d v="2024-01-17T00:00:00"/>
    <x:s v="Yes"/>
    <x:d v="2024-05-16T00:00:00"/>
    <x:s v="No Longer Needed"/>
    <x:n v="7"/>
    <x:n v="3"/>
    <x:n v="25"/>
    <x:s v="No"/>
    <x:n v="1"/>
  </x:r>
  <x:r>
    <x:s v="CUST-0016"/>
    <x:x v="1"/>
    <x:x v="0"/>
    <x:s v="Manufacturing"/>
    <x:s v="201-500"/>
    <x:n v="52"/>
    <x:n v="250.85"/>
    <x:s v="Organic Search"/>
    <x:s v="North America"/>
    <x:d v="2022-06-01T00:00:00"/>
    <x:s v="Yes"/>
    <x:d v="2023-01-24T00:00:00"/>
    <x:s v="Budget Cuts"/>
    <x:n v="11"/>
    <x:n v="4"/>
    <x:n v="34"/>
    <x:s v="No"/>
    <x:n v="1"/>
  </x:r>
  <x:r>
    <x:s v="CUST-0017"/>
    <x:x v="2"/>
    <x:x v="0"/>
    <x:s v="Education"/>
    <x:s v="11-50"/>
    <x:n v="34"/>
    <x:n v="1184.05"/>
    <x:s v="Paid Ads"/>
    <x:s v="North America"/>
    <x:d v="2024-12-23T00:00:00"/>
    <x:s v="Yes"/>
    <x:d v="2024-12-31T00:00:00"/>
    <x:s v="No Longer Needed"/>
    <x:n v="3"/>
    <x:n v="3"/>
    <x:n v="49"/>
    <x:s v="No"/>
    <x:n v="1"/>
  </x:r>
  <x:r>
    <x:s v="CUST-0018"/>
    <x:x v="1"/>
    <x:x v="0"/>
    <x:s v="Media"/>
    <x:s v="51-200"/>
    <x:n v="64"/>
    <x:n v="303.05"/>
    <x:s v="Referral"/>
    <x:s v="Europe"/>
    <x:d v="2023-06-21T00:00:00"/>
    <x:s v="Yes"/>
    <x:d v="2023-08-05T00:00:00"/>
    <x:s v="Company Closed"/>
    <x:n v="14"/>
    <x:n v="3"/>
    <x:n v="25"/>
    <x:s v="No"/>
    <x:n v="1"/>
  </x:r>
  <x:r>
    <x:s v="CUST-0019"/>
    <x:x v="0"/>
    <x:x v="1"/>
    <x:s v="Legal"/>
    <x:s v="500+"/>
    <x:n v="67"/>
    <x:n v="731.93"/>
    <x:s v="Partner"/>
    <x:s v="Latin America"/>
    <x:d v="2024-03-26T00:00:00"/>
    <x:s v="Yes"/>
    <x:d v="2025-04-23T00:00:00"/>
    <x:s v="Company Closed"/>
    <x:n v="10"/>
    <x:n v="2"/>
    <x:n v="10"/>
    <x:s v="No"/>
    <x:n v="1"/>
  </x:r>
  <x:r>
    <x:s v="CUST-0020"/>
    <x:x v="3"/>
    <x:x v="1"/>
    <x:s v="Education"/>
    <x:s v="1-10"/>
    <x:n v="7"/>
    <x:n v="805.88"/>
    <x:s v="Organic Search"/>
    <x:s v="Asia Pacific"/>
    <x:d v="2023-08-11T00:00:00"/>
    <x:s v="No"/>
    <x:m/>
    <x:s v=""/>
    <x:n v="8"/>
    <x:n v="4"/>
    <x:n v="93"/>
    <x:s v="No"/>
    <x:n v="0"/>
  </x:r>
  <x:r>
    <x:s v="CUST-0021"/>
    <x:x v="0"/>
    <x:x v="1"/>
    <x:s v="Retail"/>
    <x:s v="51-200"/>
    <x:n v="66"/>
    <x:n v="721.86"/>
    <x:s v="Partner"/>
    <x:s v="Europe"/>
    <x:d v="2023-11-23T00:00:00"/>
    <x:s v="Yes"/>
    <x:d v="2024-05-18T00:00:00"/>
    <x:s v="Price Too High"/>
    <x:n v="7"/>
    <x:n v="2"/>
    <x:n v="19"/>
    <x:s v="No"/>
    <x:n v="1"/>
  </x:r>
  <x:r>
    <x:s v="CUST-0022"/>
    <x:x v="2"/>
    <x:x v="1"/>
    <x:s v="Education"/>
    <x:s v="1-10"/>
    <x:n v="6"/>
    <x:n v="296.01"/>
    <x:s v="Referral"/>
    <x:s v="Europe"/>
    <x:d v="2022-07-02T00:00:00"/>
    <x:s v="No"/>
    <x:m/>
    <x:s v=""/>
    <x:n v="5"/>
    <x:n v="7"/>
    <x:n v="40"/>
    <x:s v="No"/>
    <x:n v="0"/>
  </x:r>
  <x:r>
    <x:s v="CUST-0023"/>
    <x:x v="1"/>
    <x:x v="0"/>
    <x:s v="Healthcare"/>
    <x:s v="11-50"/>
    <x:n v="25"/>
    <x:n v="133.4"/>
    <x:s v="Paid Ads"/>
    <x:s v="Europe"/>
    <x:d v="2024-02-17T00:00:00"/>
    <x:s v="Yes"/>
    <x:d v="2024-04-23T00:00:00"/>
    <x:s v="Company Closed"/>
    <x:n v="11"/>
    <x:n v="1"/>
    <x:n v="16"/>
    <x:s v="No"/>
    <x:n v="1"/>
  </x:r>
  <x:r>
    <x:s v="CUST-0024"/>
    <x:x v="3"/>
    <x:x v="1"/>
    <x:s v="Manufacturing"/>
    <x:s v="11-50"/>
    <x:n v="14"/>
    <x:n v="1251.24"/>
    <x:s v="Referral"/>
    <x:s v="Europe"/>
    <x:d v="2025-05-22T00:00:00"/>
    <x:s v="No"/>
    <x:m/>
    <x:s v=""/>
    <x:n v="11"/>
    <x:n v="1"/>
    <x:n v="85"/>
    <x:s v="No"/>
    <x:n v="0"/>
  </x:r>
  <x:r>
    <x:s v="CUST-0025"/>
    <x:x v="1"/>
    <x:x v="1"/>
    <x:s v="Retail"/>
    <x:s v="11-50"/>
    <x:n v="7"/>
    <x:n v="46.83"/>
    <x:s v="Referral"/>
    <x:s v="North America"/>
    <x:d v="2024-06-08T00:00:00"/>
    <x:s v="No"/>
    <x:m/>
    <x:s v=""/>
    <x:n v="1"/>
    <x:n v="1"/>
    <x:n v="42"/>
    <x:s v="No"/>
    <x:n v="0"/>
  </x:r>
  <x:r>
    <x:s v="CUST-0026"/>
    <x:x v="3"/>
    <x:x v="1"/>
    <x:s v="Media"/>
    <x:s v="1-10"/>
    <x:n v="4"/>
    <x:n v="615.02"/>
    <x:s v="Referral"/>
    <x:s v="Europe"/>
    <x:d v="2025-07-25T00:00:00"/>
    <x:s v="No"/>
    <x:m/>
    <x:s v=""/>
    <x:n v="2"/>
    <x:n v="9"/>
    <x:n v="73"/>
    <x:s v="No"/>
    <x:n v="0"/>
  </x:r>
  <x:r>
    <x:s v="CUST-0027"/>
    <x:x v="1"/>
    <x:x v="0"/>
    <x:s v="Consulting"/>
    <x:s v="1-10"/>
    <x:n v="1"/>
    <x:n v="29"/>
    <x:s v="Partner"/>
    <x:s v="Asia Pacific"/>
    <x:d v="2023-09-10T00:00:00"/>
    <x:s v="Yes"/>
    <x:d v="2025-04-24T00:00:00"/>
    <x:s v="Poor Support"/>
    <x:n v="8"/>
    <x:n v="3"/>
    <x:n v="10"/>
    <x:s v="No"/>
    <x:n v="1"/>
  </x:r>
  <x:r>
    <x:s v="CUST-0028"/>
    <x:x v="0"/>
    <x:x v="1"/>
    <x:s v="Technology"/>
    <x:s v="51-200"/>
    <x:n v="35"/>
    <x:n v="409.62"/>
    <x:s v="Organic Search"/>
    <x:s v="Latin America"/>
    <x:d v="2025-12-29T00:00:00"/>
    <x:s v="No"/>
    <x:m/>
    <x:s v=""/>
    <x:n v="8"/>
    <x:n v="4"/>
    <x:n v="53"/>
    <x:s v="No"/>
    <x:n v="0"/>
  </x:r>
  <x:r>
    <x:s v="CUST-0029"/>
    <x:x v="1"/>
    <x:x v="0"/>
    <x:s v="Real Estate"/>
    <x:s v="11-50"/>
    <x:n v="22"/>
    <x:n v="120.35"/>
    <x:s v="Organic Search"/>
    <x:s v="North America"/>
    <x:d v="2022-12-06T00:00:00"/>
    <x:s v="Yes"/>
    <x:d v="2023-08-15T00:00:00"/>
    <x:s v="Missing Features"/>
    <x:n v="4"/>
    <x:n v="2"/>
    <x:n v="17"/>
    <x:s v="No"/>
    <x:n v="1"/>
  </x:r>
  <x:r>
    <x:s v="CUST-0030"/>
    <x:x v="2"/>
    <x:x v="1"/>
    <x:s v="Real Estate"/>
    <x:s v="500+"/>
    <x:n v="230"/>
    <x:n v="5979.45"/>
    <x:s v="Partner"/>
    <x:s v="Europe"/>
    <x:d v="2023-11-04T00:00:00"/>
    <x:s v="No"/>
    <x:m/>
    <x:s v=""/>
    <x:n v="9"/>
    <x:n v="3"/>
    <x:n v="76"/>
    <x:s v="No"/>
    <x:n v="0"/>
  </x:r>
  <x:r>
    <x:s v="CUST-0031"/>
    <x:x v="2"/>
    <x:x v="1"/>
    <x:s v="Finance"/>
    <x:s v="500+"/>
    <x:n v="174"/>
    <x:n v="4558.59"/>
    <x:s v="Direct Sales"/>
    <x:s v="Europe"/>
    <x:d v="2024-07-20T00:00:00"/>
    <x:s v="No"/>
    <x:m/>
    <x:s v=""/>
    <x:n v="8"/>
    <x:n v="7"/>
    <x:n v="84"/>
    <x:s v="No"/>
    <x:n v="0"/>
  </x:r>
  <x:r>
    <x:s v="CUST-0032"/>
    <x:x v="3"/>
    <x:x v="1"/>
    <x:s v="Technology"/>
    <x:s v="1-10"/>
    <x:n v="5"/>
    <x:n v="678.64"/>
    <x:s v="Referral"/>
    <x:s v="North America"/>
    <x:d v="2023-03-28T00:00:00"/>
    <x:s v="No"/>
    <x:m/>
    <x:s v=""/>
    <x:n v="7"/>
    <x:n v="8"/>
    <x:n v="16"/>
    <x:s v="No"/>
    <x:n v="0"/>
  </x:r>
  <x:r>
    <x:s v="CUST-0033"/>
    <x:x v="1"/>
    <x:x v="1"/>
    <x:s v="Consulting"/>
    <x:s v="1-10"/>
    <x:n v="6"/>
    <x:n v="43.14"/>
    <x:s v="Organic Search"/>
    <x:s v="Latin America"/>
    <x:d v="2024-05-19T00:00:00"/>
    <x:s v="Yes"/>
    <x:d v="2024-07-29T00:00:00"/>
    <x:s v="No Longer Needed"/>
    <x:n v="11"/>
    <x:n v="3"/>
    <x:n v="30"/>
    <x:s v="No"/>
    <x:n v="1"/>
  </x:r>
  <x:r>
    <x:s v="CUST-0034"/>
    <x:x v="3"/>
    <x:x v="1"/>
    <x:s v="Education"/>
    <x:s v="11-50"/>
    <x:n v="35"/>
    <x:n v="2587.32"/>
    <x:s v="Referral"/>
    <x:s v="North America"/>
    <x:d v="2023-09-25T00:00:00"/>
    <x:s v="No"/>
    <x:m/>
    <x:s v=""/>
    <x:n v="5"/>
    <x:n v="8"/>
    <x:n v="33"/>
    <x:s v="Yes"/>
    <x:n v="0"/>
  </x:r>
  <x:r>
    <x:s v="CUST-0035"/>
    <x:x v="1"/>
    <x:x v="0"/>
    <x:s v="Manufacturing"/>
    <x:s v="51-200"/>
    <x:n v="70"/>
    <x:n v="329.15"/>
    <x:s v="Organic Search"/>
    <x:s v="Latin America"/>
    <x:d v="2022-05-08T00:00:00"/>
    <x:s v="Yes"/>
    <x:d v="2022-07-24T00:00:00"/>
    <x:s v="Switched Competitor"/>
    <x:n v="0"/>
    <x:n v="6"/>
    <x:n v="30"/>
    <x:s v="No"/>
    <x:n v="1"/>
  </x:r>
  <x:r>
    <x:s v="CUST-0036"/>
    <x:x v="0"/>
    <x:x v="0"/>
    <x:s v="Manufacturing"/>
    <x:s v="1-10"/>
    <x:n v="7"/>
    <x:n v="150.1"/>
    <x:s v="Referral"/>
    <x:s v="Latin America"/>
    <x:d v="2023-04-22T00:00:00"/>
    <x:s v="Yes"/>
    <x:d v="2023-12-24T00:00:00"/>
    <x:s v="Company Closed"/>
    <x:n v="10"/>
    <x:n v="6"/>
    <x:n v="16"/>
    <x:s v="No"/>
    <x:n v="1"/>
  </x:r>
  <x:r>
    <x:s v="CUST-0037"/>
    <x:x v="0"/>
    <x:x v="0"/>
    <x:s v="Technology"/>
    <x:s v="1-10"/>
    <x:n v="2"/>
    <x:n v="90.85"/>
    <x:s v="Direct Sales"/>
    <x:s v="North America"/>
    <x:d v="2024-06-14T00:00:00"/>
    <x:s v="Yes"/>
    <x:d v="2024-11-08T00:00:00"/>
    <x:s v="No Longer Needed"/>
    <x:n v="11"/>
    <x:n v="2"/>
    <x:n v="34"/>
    <x:s v="No"/>
    <x:n v="1"/>
  </x:r>
  <x:r>
    <x:s v="CUST-0038"/>
    <x:x v="0"/>
    <x:x v="0"/>
    <x:s v="Real Estate"/>
    <x:s v="1-10"/>
    <x:n v="5"/>
    <x:n v="126.4"/>
    <x:s v="Organic Search"/>
    <x:s v="Europe"/>
    <x:d v="2022-06-06T00:00:00"/>
    <x:s v="Yes"/>
    <x:d v="2022-08-11T00:00:00"/>
    <x:s v="Budget Cuts"/>
    <x:n v="6"/>
    <x:n v="1"/>
    <x:n v="30"/>
    <x:s v="No"/>
    <x:n v="1"/>
  </x:r>
  <x:r>
    <x:s v="CUST-0039"/>
    <x:x v="2"/>
    <x:x v="1"/>
    <x:s v="Retail"/>
    <x:s v="51-200"/>
    <x:n v="30"/>
    <x:n v="904.95"/>
    <x:s v="Organic Search"/>
    <x:s v="Asia Pacific"/>
    <x:d v="2024-05-02T00:00:00"/>
    <x:s v="No"/>
    <x:m/>
    <x:s v=""/>
    <x:n v="4"/>
    <x:n v="9"/>
    <x:n v="71"/>
    <x:s v="Yes"/>
    <x:n v="0"/>
  </x:r>
  <x:r>
    <x:s v="CUST-0040"/>
    <x:x v="2"/>
    <x:x v="1"/>
    <x:s v="Media"/>
    <x:s v="11-50"/>
    <x:n v="24"/>
    <x:n v="752.72"/>
    <x:s v="Direct Sales"/>
    <x:s v="Asia Pacific"/>
    <x:d v="2023-05-17T00:00:00"/>
    <x:s v="No"/>
    <x:m/>
    <x:s v=""/>
    <x:n v="9"/>
    <x:n v="2"/>
    <x:n v="76"/>
    <x:s v="No"/>
    <x:n v="0"/>
  </x:r>
  <x:r>
    <x:s v="CUST-0041"/>
    <x:x v="1"/>
    <x:x v="0"/>
    <x:s v="Education"/>
    <x:s v="51-200"/>
    <x:n v="53"/>
    <x:n v="255.2"/>
    <x:s v="Referral"/>
    <x:s v="Asia Pacific"/>
    <x:d v="2022-12-21T00:00:00"/>
    <x:s v="Yes"/>
    <x:d v="2023-05-19T00:00:00"/>
    <x:s v="Poor Support"/>
    <x:n v="4"/>
    <x:n v="5"/>
    <x:n v="45"/>
    <x:s v="No"/>
    <x:n v="1"/>
  </x:r>
  <x:r>
    <x:s v="CUST-0042"/>
    <x:x v="1"/>
    <x:x v="0"/>
    <x:s v="Real Estate"/>
    <x:s v="51-200"/>
    <x:n v="34"/>
    <x:n v="172.55"/>
    <x:s v="Partner"/>
    <x:s v="Europe"/>
    <x:d v="2025-01-04T00:00:00"/>
    <x:s v="No"/>
    <x:m/>
    <x:s v=""/>
    <x:n v="9"/>
    <x:n v="2"/>
    <x:n v="73"/>
    <x:s v="No"/>
    <x:n v="0"/>
  </x:r>
  <x:r>
    <x:s v="CUST-0043"/>
    <x:x v="0"/>
    <x:x v="1"/>
    <x:s v="Manufacturing"/>
    <x:s v="1-10"/>
    <x:n v="2"/>
    <x:n v="77.22"/>
    <x:s v="Paid Ads"/>
    <x:s v="Europe"/>
    <x:d v="2022-02-20T00:00:00"/>
    <x:s v="No"/>
    <x:m/>
    <x:s v=""/>
    <x:n v="9"/>
    <x:n v="9"/>
    <x:n v="20"/>
    <x:s v="No"/>
    <x:n v="0"/>
  </x:r>
  <x:r>
    <x:s v="CUST-0044"/>
    <x:x v="0"/>
    <x:x v="1"/>
    <x:s v="Legal"/>
    <x:s v="1-10"/>
    <x:n v="2"/>
    <x:n v="77.22"/>
    <x:s v="Social Media"/>
    <x:s v="North America"/>
    <x:d v="2022-04-27T00:00:00"/>
    <x:s v="Yes"/>
    <x:d v="2022-08-02T00:00:00"/>
    <x:s v="Price Too High"/>
    <x:n v="7"/>
    <x:n v="6"/>
    <x:n v="20"/>
    <x:s v="No"/>
    <x:n v="1"/>
  </x:r>
  <x:r>
    <x:s v="CUST-0045"/>
    <x:x v="1"/>
    <x:x v="0"/>
    <x:s v="Retail"/>
    <x:s v="11-50"/>
    <x:n v="7"/>
    <x:n v="55.1"/>
    <x:s v="Social Media"/>
    <x:s v="Latin America"/>
    <x:d v="2025-09-10T00:00:00"/>
    <x:s v="No"/>
    <x:m/>
    <x:s v=""/>
    <x:n v="12"/>
    <x:n v="4"/>
    <x:n v="67"/>
    <x:s v="No"/>
    <x:n v="0"/>
  </x:r>
  <x:r>
    <x:s v="CUST-0046"/>
    <x:x v="0"/>
    <x:x v="0"/>
    <x:s v="Finance"/>
    <x:s v="1-10"/>
    <x:n v="4"/>
    <x:n v="114.55"/>
    <x:s v="Paid Ads"/>
    <x:s v="North America"/>
    <x:d v="2023-07-07T00:00:00"/>
    <x:s v="Yes"/>
    <x:d v="2024-02-28T00:00:00"/>
    <x:s v="Missing Features"/>
    <x:n v="1"/>
    <x:n v="6"/>
    <x:n v="42"/>
    <x:s v="No"/>
    <x:n v="1"/>
  </x:r>
  <x:r>
    <x:s v="CUST-0047"/>
    <x:x v="2"/>
    <x:x v="0"/>
    <x:s v="Media"/>
    <x:s v="1-10"/>
    <x:n v="5"/>
    <x:n v="318.4"/>
    <x:s v="Partner"/>
    <x:s v="North America"/>
    <x:d v="2023-01-17T00:00:00"/>
    <x:s v="Yes"/>
    <x:d v="2025-06-13T00:00:00"/>
    <x:s v="No Longer Needed"/>
    <x:n v="15"/>
    <x:n v="4"/>
    <x:n v="46"/>
    <x:s v="No"/>
    <x:n v="1"/>
  </x:r>
  <x:r>
    <x:s v="CUST-0048"/>
    <x:x v="2"/>
    <x:x v="1"/>
    <x:s v="Education"/>
    <x:s v="1-10"/>
    <x:n v="4"/>
    <x:n v="245.27"/>
    <x:s v="Referral"/>
    <x:s v="Europe"/>
    <x:d v="2022-04-18T00:00:00"/>
    <x:s v="Yes"/>
    <x:d v="2022-07-12T00:00:00"/>
    <x:s v="Budget Cuts"/>
    <x:n v="4"/>
    <x:n v="5"/>
    <x:n v="16"/>
    <x:s v="No"/>
    <x:n v="1"/>
  </x:r>
  <x:r>
    <x:s v="CUST-0049"/>
    <x:x v="0"/>
    <x:x v="0"/>
    <x:s v="Real Estate"/>
    <x:s v="51-200"/>
    <x:n v="36"/>
    <x:n v="493.75"/>
    <x:s v="Partner"/>
    <x:s v="Asia Pacific"/>
    <x:d v="2022-05-18T00:00:00"/>
    <x:s v="Yes"/>
    <x:d v="2022-08-27T00:00:00"/>
    <x:s v="Poor Support"/>
    <x:n v="1"/>
    <x:n v="6"/>
    <x:n v="26"/>
    <x:s v="No"/>
    <x:n v="1"/>
  </x:r>
  <x:r>
    <x:s v="CUST-0050"/>
    <x:x v="1"/>
    <x:x v="1"/>
    <x:s v="Healthcare"/>
    <x:s v="1-10"/>
    <x:n v="7"/>
    <x:n v="46.83"/>
    <x:s v="Organic Search"/>
    <x:s v="North America"/>
    <x:d v="2022-06-22T00:00:00"/>
    <x:s v="Yes"/>
    <x:d v="2024-06-30T00:00:00"/>
    <x:s v="Price Too High"/>
    <x:n v="2"/>
    <x:n v="3"/>
    <x:n v="38"/>
    <x:s v="No"/>
    <x:n v="1"/>
  </x:r>
  <x:r>
    <x:s v="CUST-0051"/>
    <x:x v="0"/>
    <x:x v="0"/>
    <x:s v="Consulting"/>
    <x:s v="51-200"/>
    <x:n v="58"/>
    <x:n v="754.45"/>
    <x:s v="Partner"/>
    <x:s v="Europe"/>
    <x:d v="2022-12-27T00:00:00"/>
    <x:s v="Yes"/>
    <x:d v="2023-04-14T00:00:00"/>
    <x:s v="Price Too High"/>
    <x:n v="10"/>
    <x:n v="3"/>
    <x:n v="29"/>
    <x:s v="No"/>
    <x:n v="1"/>
  </x:r>
  <x:r>
    <x:s v="CUST-0052"/>
    <x:x v="1"/>
    <x:x v="0"/>
    <x:s v="Healthcare"/>
    <x:s v="201-500"/>
    <x:n v="138"/>
    <x:n v="624.95"/>
    <x:s v="Referral"/>
    <x:s v="North America"/>
    <x:d v="2025-03-16T00:00:00"/>
    <x:s v="Yes"/>
    <x:d v="2025-07-15T00:00:00"/>
    <x:s v="Budget Cuts"/>
    <x:n v="0"/>
    <x:n v="1"/>
    <x:n v="38"/>
    <x:s v="No"/>
    <x:n v="1"/>
  </x:r>
  <x:r>
    <x:s v="CUST-0053"/>
    <x:x v="1"/>
    <x:x v="0"/>
    <x:s v="Manufacturing"/>
    <x:s v="1-10"/>
    <x:n v="4"/>
    <x:n v="42.05"/>
    <x:s v="Organic Search"/>
    <x:s v="North America"/>
    <x:d v="2025-04-03T00:00:00"/>
    <x:s v="Yes"/>
    <x:d v="2025-07-04T00:00:00"/>
    <x:s v="Price Too High"/>
    <x:n v="1"/>
    <x:n v="2"/>
    <x:n v="43"/>
    <x:s v="No"/>
    <x:n v="1"/>
  </x:r>
  <x:r>
    <x:s v="CUST-0054"/>
    <x:x v="0"/>
    <x:x v="1"/>
    <x:s v="Healthcare"/>
    <x:s v="201-500"/>
    <x:n v="82"/>
    <x:n v="883.02"/>
    <x:s v="Social Media"/>
    <x:s v="North America"/>
    <x:d v="2024-06-23T00:00:00"/>
    <x:s v="No"/>
    <x:m/>
    <x:s v=""/>
    <x:n v="4"/>
    <x:n v="8"/>
    <x:n v="81"/>
    <x:s v="No"/>
    <x:n v="0"/>
  </x:r>
  <x:r>
    <x:s v="CUST-0055"/>
    <x:x v="2"/>
    <x:x v="0"/>
    <x:s v="Manufacturing"/>
    <x:s v="1-10"/>
    <x:n v="7"/>
    <x:n v="378.1"/>
    <x:s v="Organic Search"/>
    <x:s v="North America"/>
    <x:d v="2022-04-13T00:00:00"/>
    <x:s v="Yes"/>
    <x:d v="2024-09-16T00:00:00"/>
    <x:s v="Missing Features"/>
    <x:n v="6"/>
    <x:n v="2"/>
    <x:n v="21"/>
    <x:s v="No"/>
    <x:n v="1"/>
  </x:r>
  <x:r>
    <x:s v="CUST-0056"/>
    <x:x v="2"/>
    <x:x v="0"/>
    <x:s v="Technology"/>
    <x:s v="11-50"/>
    <x:n v="14"/>
    <x:n v="587.05"/>
    <x:s v="Paid Ads"/>
    <x:s v="North America"/>
    <x:d v="2024-12-23T00:00:00"/>
    <x:s v="Yes"/>
    <x:d v="2025-11-15T00:00:00"/>
    <x:s v="Missing Features"/>
    <x:n v="3"/>
    <x:n v="2"/>
    <x:n v="37"/>
    <x:s v="No"/>
    <x:n v="1"/>
  </x:r>
  <x:r>
    <x:s v="CUST-0057"/>
    <x:x v="0"/>
    <x:x v="1"/>
    <x:s v="Healthcare"/>
    <x:s v="11-50"/>
    <x:n v="34"/>
    <x:n v="399.54"/>
    <x:s v="Referral"/>
    <x:s v="North America"/>
    <x:d v="2024-07-12T00:00:00"/>
    <x:s v="Yes"/>
    <x:d v="2025-08-05T00:00:00"/>
    <x:s v="No Longer Needed"/>
    <x:n v="1"/>
    <x:n v="1"/>
    <x:n v="10"/>
    <x:s v="No"/>
    <x:n v="1"/>
  </x:r>
  <x:r>
    <x:s v="CUST-0058"/>
    <x:x v="1"/>
    <x:x v="0"/>
    <x:s v="Real Estate"/>
    <x:s v="201-500"/>
    <x:n v="48"/>
    <x:n v="233.45"/>
    <x:s v="Referral"/>
    <x:s v="Europe"/>
    <x:d v="2022-09-10T00:00:00"/>
    <x:s v="Yes"/>
    <x:d v="2023-03-17T00:00:00"/>
    <x:s v="Price Too High"/>
    <x:n v="2"/>
    <x:n v="1"/>
    <x:n v="12"/>
    <x:s v="No"/>
    <x:n v="1"/>
  </x:r>
  <x:r>
    <x:s v="CUST-0059"/>
    <x:x v="0"/>
    <x:x v="1"/>
    <x:s v="Healthcare"/>
    <x:s v="11-50"/>
    <x:n v="28"/>
    <x:n v="339.11"/>
    <x:s v="Social Media"/>
    <x:s v="North America"/>
    <x:d v="2023-12-30T00:00:00"/>
    <x:s v="Yes"/>
    <x:d v="2024-10-10T00:00:00"/>
    <x:s v="Missing Features"/>
    <x:n v="5"/>
    <x:n v="1"/>
    <x:n v="13"/>
    <x:s v="No"/>
    <x:n v="1"/>
  </x:r>
  <x:r>
    <x:s v="CUST-0060"/>
    <x:x v="0"/>
    <x:x v="0"/>
    <x:s v="Finance"/>
    <x:s v="51-200"/>
    <x:n v="59"/>
    <x:n v="766.3"/>
    <x:s v="Partner"/>
    <x:s v="Asia Pacific"/>
    <x:d v="2024-07-30T00:00:00"/>
    <x:s v="Yes"/>
    <x:d v="2024-09-07T00:00:00"/>
    <x:s v="Switched Competitor"/>
    <x:n v="12"/>
    <x:n v="1"/>
    <x:n v="45"/>
    <x:s v="No"/>
    <x:n v="1"/>
  </x:r>
  <x:r>
    <x:s v="CUST-0061"/>
    <x:x v="2"/>
    <x:x v="0"/>
    <x:s v="Legal"/>
    <x:s v="51-200"/>
    <x:n v="53"/>
    <x:n v="1751.2"/>
    <x:s v="Referral"/>
    <x:s v="Europe"/>
    <x:d v="2022-03-25T00:00:00"/>
    <x:s v="Yes"/>
    <x:d v="2023-04-06T00:00:00"/>
    <x:s v="Switched Competitor"/>
    <x:n v="13"/>
    <x:n v="5"/>
    <x:n v="11"/>
    <x:s v="No"/>
    <x:n v="1"/>
  </x:r>
  <x:r>
    <x:s v="CUST-0062"/>
    <x:x v="0"/>
    <x:x v="0"/>
    <x:s v="Finance"/>
    <x:s v="11-50"/>
    <x:n v="21"/>
    <x:n v="316"/>
    <x:s v="Paid Ads"/>
    <x:s v="North America"/>
    <x:d v="2022-10-01T00:00:00"/>
    <x:s v="Yes"/>
    <x:d v="2024-04-13T00:00:00"/>
    <x:s v="Switched Competitor"/>
    <x:n v="1"/>
    <x:n v="3"/>
    <x:n v="16"/>
    <x:s v="No"/>
    <x:n v="1"/>
  </x:r>
  <x:r>
    <x:s v="CUST-0063"/>
    <x:x v="3"/>
    <x:x v="1"/>
    <x:s v="Retail"/>
    <x:s v="11-50"/>
    <x:n v="18"/>
    <x:n v="1505.73"/>
    <x:s v="Organic Search"/>
    <x:s v="North America"/>
    <x:d v="2025-08-21T00:00:00"/>
    <x:s v="No"/>
    <x:m/>
    <x:s v=""/>
    <x:n v="3"/>
    <x:n v="7"/>
    <x:n v="61"/>
    <x:s v="No"/>
    <x:n v="0"/>
  </x:r>
  <x:r>
    <x:s v="CUST-0064"/>
    <x:x v="0"/>
    <x:x v="1"/>
    <x:s v="Retail"/>
    <x:s v="51-200"/>
    <x:n v="51"/>
    <x:n v="570.77"/>
    <x:s v="Direct Sales"/>
    <x:s v="Asia Pacific"/>
    <x:d v="2022-10-02T00:00:00"/>
    <x:s v="No"/>
    <x:m/>
    <x:s v=""/>
    <x:n v="1"/>
    <x:n v="10"/>
    <x:n v="33"/>
    <x:s v="No"/>
    <x:n v="0"/>
  </x:r>
  <x:r>
    <x:s v="CUST-0065"/>
    <x:x v="1"/>
    <x:x v="0"/>
    <x:s v="Manufacturing"/>
    <x:s v="201-500"/>
    <x:n v="60"/>
    <x:n v="285.65"/>
    <x:s v="Direct Sales"/>
    <x:s v="North America"/>
    <x:d v="2022-11-12T00:00:00"/>
    <x:s v="Yes"/>
    <x:d v="2022-11-20T00:00:00"/>
    <x:s v="Poor Support"/>
    <x:n v="13"/>
    <x:n v="3"/>
    <x:n v="46"/>
    <x:s v="No"/>
    <x:n v="1"/>
  </x:r>
  <x:r>
    <x:s v="CUST-0066"/>
    <x:x v="1"/>
    <x:x v="1"/>
    <x:s v="Education"/>
    <x:s v="51-200"/>
    <x:n v="55"/>
    <x:n v="224.31"/>
    <x:s v="Organic Search"/>
    <x:s v="North America"/>
    <x:d v="2024-06-28T00:00:00"/>
    <x:s v="Yes"/>
    <x:d v="2024-07-21T00:00:00"/>
    <x:s v="Poor Support"/>
    <x:n v="12"/>
    <x:n v="1"/>
    <x:n v="12"/>
    <x:s v="No"/>
    <x:n v="1"/>
  </x:r>
  <x:r>
    <x:s v="CUST-0067"/>
    <x:x v="2"/>
    <x:x v="1"/>
    <x:s v="Media"/>
    <x:s v="1-10"/>
    <x:n v="7"/>
    <x:n v="321.38"/>
    <x:s v="Paid Ads"/>
    <x:s v="North America"/>
    <x:d v="2023-09-28T00:00:00"/>
    <x:s v="No"/>
    <x:m/>
    <x:s v=""/>
    <x:n v="4"/>
    <x:n v="8"/>
    <x:n v="30"/>
    <x:s v="No"/>
    <x:n v="0"/>
  </x:r>
  <x:r>
    <x:s v="CUST-0068"/>
    <x:x v="0"/>
    <x:x v="1"/>
    <x:s v="Education"/>
    <x:s v="1-10"/>
    <x:n v="1"/>
    <x:n v="67.15"/>
    <x:s v="Referral"/>
    <x:s v="Asia Pacific"/>
    <x:d v="2025-12-02T00:00:00"/>
    <x:s v="No"/>
    <x:m/>
    <x:s v=""/>
    <x:n v="7"/>
    <x:n v="3"/>
    <x:n v="29"/>
    <x:s v="No"/>
    <x:n v="0"/>
  </x:r>
  <x:r>
    <x:s v="CUST-0069"/>
    <x:x v="1"/>
    <x:x v="1"/>
    <x:s v="Media"/>
    <x:s v="1-10"/>
    <x:n v="2"/>
    <x:n v="28.35"/>
    <x:s v="Organic Search"/>
    <x:s v="Europe"/>
    <x:d v="2023-07-30T00:00:00"/>
    <x:s v="Yes"/>
    <x:d v="2024-09-17T00:00:00"/>
    <x:s v="Missing Features"/>
    <x:n v="1"/>
    <x:n v="2"/>
    <x:n v="25"/>
    <x:s v="No"/>
    <x:n v="1"/>
  </x:r>
  <x:r>
    <x:s v="CUST-0070"/>
    <x:x v="2"/>
    <x:x v="0"/>
    <x:s v="Technology"/>
    <x:s v="51-200"/>
    <x:n v="64"/>
    <x:n v="2079.55"/>
    <x:s v="Organic Search"/>
    <x:s v="North America"/>
    <x:d v="2022-08-25T00:00:00"/>
    <x:s v="Yes"/>
    <x:d v="2022-08-27T00:00:00"/>
    <x:s v="No Longer Needed"/>
    <x:n v="3"/>
    <x:n v="1"/>
    <x:n v="28"/>
    <x:s v="No"/>
    <x:n v="1"/>
  </x:r>
  <x:r>
    <x:s v="CUST-0071"/>
    <x:x v="3"/>
    <x:x v="0"/>
    <x:s v="Retail"/>
    <x:s v="201-500"/>
    <x:n v="58"/>
    <x:n v="4765.45"/>
    <x:s v="Organic Search"/>
    <x:s v="Europe"/>
    <x:d v="2022-01-22T00:00:00"/>
    <x:s v="No"/>
    <x:m/>
    <x:s v=""/>
    <x:n v="4"/>
    <x:n v="10"/>
    <x:n v="42"/>
    <x:s v="No"/>
    <x:n v="0"/>
  </x:r>
  <x:r>
    <x:s v="CUST-0072"/>
    <x:x v="1"/>
    <x:x v="0"/>
    <x:s v="Consulting"/>
    <x:s v="51-200"/>
    <x:n v="31"/>
    <x:n v="159.5"/>
    <x:s v="Organic Search"/>
    <x:s v="North America"/>
    <x:d v="2024-06-21T00:00:00"/>
    <x:s v="No"/>
    <x:m/>
    <x:s v=""/>
    <x:n v="7"/>
    <x:n v="10"/>
    <x:n v="81"/>
    <x:s v="No"/>
    <x:n v="0"/>
  </x:r>
  <x:r>
    <x:s v="CUST-0073"/>
    <x:x v="0"/>
    <x:x v="0"/>
    <x:s v="Healthcare"/>
    <x:s v="201-500"/>
    <x:n v="106"/>
    <x:n v="1323.25"/>
    <x:s v="Referral"/>
    <x:s v="North America"/>
    <x:d v="2025-05-20T00:00:00"/>
    <x:s v="No"/>
    <x:m/>
    <x:s v=""/>
    <x:n v="7"/>
    <x:n v="2"/>
    <x:n v="87"/>
    <x:s v="Yes"/>
    <x:n v="0"/>
  </x:r>
  <x:r>
    <x:s v="CUST-0074"/>
    <x:x v="1"/>
    <x:x v="0"/>
    <x:s v="Legal"/>
    <x:s v="51-200"/>
    <x:n v="42"/>
    <x:n v="207.35"/>
    <x:s v="Paid Ads"/>
    <x:s v="North America"/>
    <x:d v="2023-12-14T00:00:00"/>
    <x:s v="Yes"/>
    <x:d v="2024-12-03T00:00:00"/>
    <x:s v="Company Closed"/>
    <x:n v="12"/>
    <x:n v="3"/>
    <x:n v="10"/>
    <x:s v="No"/>
    <x:n v="1"/>
  </x:r>
  <x:r>
    <x:s v="CUST-0075"/>
    <x:x v="0"/>
    <x:x v="0"/>
    <x:s v="Retail"/>
    <x:s v="1-10"/>
    <x:n v="6"/>
    <x:n v="138.25"/>
    <x:s v="Paid Ads"/>
    <x:s v="North America"/>
    <x:d v="2022-12-30T00:00:00"/>
    <x:s v="No"/>
    <x:m/>
    <x:s v=""/>
    <x:n v="5"/>
    <x:n v="1"/>
    <x:n v="49"/>
    <x:s v="No"/>
    <x:n v="0"/>
  </x:r>
  <x:r>
    <x:s v="CUST-0076"/>
    <x:x v="0"/>
    <x:x v="1"/>
    <x:s v="Healthcare"/>
    <x:s v="201-500"/>
    <x:n v="56"/>
    <x:n v="621.14"/>
    <x:s v="Referral"/>
    <x:s v="Europe"/>
    <x:d v="2024-03-03T00:00:00"/>
    <x:s v="No"/>
    <x:m/>
    <x:s v=""/>
    <x:n v="2"/>
    <x:n v="5"/>
    <x:n v="87"/>
    <x:s v="No"/>
    <x:n v="0"/>
  </x:r>
  <x:r>
    <x:s v="CUST-0077"/>
    <x:x v="3"/>
    <x:x v="0"/>
    <x:s v="Media"/>
    <x:s v="51-200"/>
    <x:n v="52"/>
    <x:n v="4316.35"/>
    <x:s v="Partner"/>
    <x:s v="Europe"/>
    <x:d v="2023-05-01T00:00:00"/>
    <x:s v="No"/>
    <x:m/>
    <x:s v=""/>
    <x:n v="4"/>
    <x:n v="7"/>
    <x:n v="88"/>
    <x:s v="No"/>
    <x:n v="0"/>
  </x:r>
  <x:r>
    <x:s v="CUST-0078"/>
    <x:x v="1"/>
    <x:x v="1"/>
    <x:s v="Media"/>
    <x:s v="51-200"/>
    <x:n v="24"/>
    <x:n v="109.69"/>
    <x:s v="Partner"/>
    <x:s v="Europe"/>
    <x:d v="2023-02-21T00:00:00"/>
    <x:s v="Yes"/>
    <x:d v="2025-09-09T00:00:00"/>
    <x:s v="Budget Cuts"/>
    <x:n v="2"/>
    <x:n v="4"/>
    <x:n v="16"/>
    <x:s v="No"/>
    <x:n v="1"/>
  </x:r>
  <x:r>
    <x:s v="CUST-0079"/>
    <x:x v="2"/>
    <x:x v="0"/>
    <x:s v="Healthcare"/>
    <x:s v="51-200"/>
    <x:n v="40"/>
    <x:n v="1363.15"/>
    <x:s v="Social Media"/>
    <x:s v="North America"/>
    <x:d v="2024-01-06T00:00:00"/>
    <x:s v="No"/>
    <x:m/>
    <x:s v=""/>
    <x:n v="0"/>
    <x:n v="4"/>
    <x:n v="29"/>
    <x:s v="No"/>
    <x:n v="0"/>
  </x:r>
  <x:r>
    <x:s v="CUST-0080"/>
    <x:x v="1"/>
    <x:x v="0"/>
    <x:s v="Healthcare"/>
    <x:s v="11-50"/>
    <x:n v="5"/>
    <x:n v="46.4"/>
    <x:s v="Organic Search"/>
    <x:s v="Asia Pacific"/>
    <x:d v="2025-03-05T00:00:00"/>
    <x:s v="Yes"/>
    <x:d v="2025-04-06T00:00:00"/>
    <x:s v="No Longer Needed"/>
    <x:n v="0"/>
    <x:n v="6"/>
    <x:n v="20"/>
    <x:s v="No"/>
    <x:n v="1"/>
  </x:r>
  <x:r>
    <x:s v="CUST-0081"/>
    <x:x v="2"/>
    <x:x v="1"/>
    <x:s v="Finance"/>
    <x:s v="11-50"/>
    <x:n v="24"/>
    <x:n v="752.72"/>
    <x:s v="Organic Search"/>
    <x:s v="Asia Pacific"/>
    <x:d v="2024-01-17T00:00:00"/>
    <x:s v="No"/>
    <x:m/>
    <x:s v=""/>
    <x:n v="2"/>
    <x:n v="6"/>
    <x:n v="86"/>
    <x:s v="No"/>
    <x:n v="0"/>
  </x:r>
  <x:r>
    <x:s v="CUST-0082"/>
    <x:x v="1"/>
    <x:x v="1"/>
    <x:s v="Technology"/>
    <x:s v="1-10"/>
    <x:n v="1"/>
    <x:n v="24.65"/>
    <x:s v="Social Media"/>
    <x:s v="Europe"/>
    <x:d v="2024-06-19T00:00:00"/>
    <x:s v="Yes"/>
    <x:d v="2025-06-04T00:00:00"/>
    <x:s v="Budget Cuts"/>
    <x:n v="14"/>
    <x:n v="2"/>
    <x:n v="22"/>
    <x:s v="No"/>
    <x:n v="1"/>
  </x:r>
  <x:r>
    <x:s v="CUST-0083"/>
    <x:x v="0"/>
    <x:x v="0"/>
    <x:s v="Education"/>
    <x:s v="1-10"/>
    <x:n v="5"/>
    <x:n v="126.4"/>
    <x:s v="Paid Ads"/>
    <x:s v="Asia Pacific"/>
    <x:d v="2025-09-12T00:00:00"/>
    <x:s v="No"/>
    <x:m/>
    <x:s v=""/>
    <x:n v="6"/>
    <x:n v="9"/>
    <x:n v="56"/>
    <x:s v="No"/>
    <x:n v="0"/>
  </x:r>
  <x:r>
    <x:s v="CUST-0084"/>
    <x:x v="2"/>
    <x:x v="0"/>
    <x:s v="Real Estate"/>
    <x:s v="201-500"/>
    <x:n v="71"/>
    <x:n v="2288.5"/>
    <x:s v="Referral"/>
    <x:s v="Europe"/>
    <x:d v="2023-01-21T00:00:00"/>
    <x:s v="Yes"/>
    <x:d v="2024-01-17T00:00:00"/>
    <x:s v="Missing Features"/>
    <x:n v="6"/>
    <x:n v="5"/>
    <x:n v="29"/>
    <x:s v="No"/>
    <x:n v="1"/>
  </x:r>
  <x:r>
    <x:s v="CUST-0085"/>
    <x:x v="1"/>
    <x:x v="0"/>
    <x:s v="Real Estate"/>
    <x:s v="11-50"/>
    <x:n v="21"/>
    <x:n v="116"/>
    <x:s v="Partner"/>
    <x:s v="Latin America"/>
    <x:d v="2025-01-04T00:00:00"/>
    <x:s v="Yes"/>
    <x:d v="2025-03-14T00:00:00"/>
    <x:s v="Company Closed"/>
    <x:n v="13"/>
    <x:n v="2"/>
    <x:n v="42"/>
    <x:s v="No"/>
    <x:n v="1"/>
  </x:r>
  <x:r>
    <x:s v="CUST-0086"/>
    <x:x v="2"/>
    <x:x v="0"/>
    <x:s v="Technology"/>
    <x:s v="11-50"/>
    <x:n v="27"/>
    <x:n v="975.1"/>
    <x:s v="Partner"/>
    <x:s v="Europe"/>
    <x:d v="2024-07-06T00:00:00"/>
    <x:s v="No"/>
    <x:m/>
    <x:s v=""/>
    <x:n v="9"/>
    <x:n v="7"/>
    <x:n v="35"/>
    <x:s v="No"/>
    <x:n v="0"/>
  </x:r>
  <x:r>
    <x:s v="CUST-0087"/>
    <x:x v="0"/>
    <x:x v="1"/>
    <x:s v="Education"/>
    <x:s v="51-200"/>
    <x:n v="17"/>
    <x:n v="228.31"/>
    <x:s v="Direct Sales"/>
    <x:s v="Europe"/>
    <x:d v="2024-05-09T00:00:00"/>
    <x:s v="No"/>
    <x:m/>
    <x:s v=""/>
    <x:n v="2"/>
    <x:n v="4"/>
    <x:n v="88"/>
    <x:s v="No"/>
    <x:n v="0"/>
  </x:r>
  <x:r>
    <x:s v="CUST-0088"/>
    <x:x v="1"/>
    <x:x v="0"/>
    <x:s v="Consulting"/>
    <x:s v="51-200"/>
    <x:n v="76"/>
    <x:n v="355.25"/>
    <x:s v="Referral"/>
    <x:s v="Asia Pacific"/>
    <x:d v="2024-12-15T00:00:00"/>
    <x:s v="Yes"/>
    <x:d v="2025-05-29T00:00:00"/>
    <x:s v="Budget Cuts"/>
    <x:n v="7"/>
    <x:n v="3"/>
    <x:n v="20"/>
    <x:s v="No"/>
    <x:n v="1"/>
  </x:r>
  <x:r>
    <x:s v="CUST-0089"/>
    <x:x v="0"/>
    <x:x v="1"/>
    <x:s v="Healthcare"/>
    <x:s v="201-500"/>
    <x:n v="75"/>
    <x:n v="812.51"/>
    <x:s v="Organic Search"/>
    <x:s v="Asia Pacific"/>
    <x:d v="2022-11-21T00:00:00"/>
    <x:s v="Yes"/>
    <x:d v="2023-10-01T00:00:00"/>
    <x:s v="Poor Support"/>
    <x:n v="12"/>
    <x:n v="6"/>
    <x:n v="20"/>
    <x:s v="No"/>
    <x:n v="1"/>
  </x:r>
  <x:r>
    <x:s v="CUST-0090"/>
    <x:x v="2"/>
    <x:x v="1"/>
    <x:s v="Healthcare"/>
    <x:s v="51-200"/>
    <x:n v="67"/>
    <x:n v="1843.73"/>
    <x:s v="Paid Ads"/>
    <x:s v="Europe"/>
    <x:d v="2022-03-28T00:00:00"/>
    <x:s v="Yes"/>
    <x:d v="2022-11-20T00:00:00"/>
    <x:s v="Switched Competitor"/>
    <x:n v="7"/>
    <x:n v="1"/>
    <x:n v="36"/>
    <x:s v="No"/>
    <x:n v="1"/>
  </x:r>
  <x:r>
    <x:s v="CUST-0091"/>
    <x:x v="3"/>
    <x:x v="1"/>
    <x:s v="Media"/>
    <x:s v="11-50"/>
    <x:n v="20"/>
    <x:n v="1632.98"/>
    <x:s v="Referral"/>
    <x:s v="North America"/>
    <x:d v="2024-10-31T00:00:00"/>
    <x:s v="Yes"/>
    <x:d v="2025-02-22T00:00:00"/>
    <x:s v="Company Closed"/>
    <x:n v="13"/>
    <x:n v="2"/>
    <x:n v="42"/>
    <x:s v="No"/>
    <x:n v="1"/>
  </x:r>
  <x:r>
    <x:s v="CUST-0092"/>
    <x:x v="1"/>
    <x:x v="0"/>
    <x:s v="Consulting"/>
    <x:s v="1-10"/>
    <x:n v="5"/>
    <x:n v="46.4"/>
    <x:s v="Partner"/>
    <x:s v="Asia Pacific"/>
    <x:d v="2025-03-16T00:00:00"/>
    <x:s v="No"/>
    <x:m/>
    <x:s v=""/>
    <x:n v="7"/>
    <x:n v="7"/>
    <x:n v="41"/>
    <x:s v="No"/>
    <x:n v="0"/>
  </x:r>
  <x:r>
    <x:s v="CUST-0093"/>
    <x:x v="1"/>
    <x:x v="0"/>
    <x:s v="Manufacturing"/>
    <x:s v="1-10"/>
    <x:n v="7"/>
    <x:n v="55.1"/>
    <x:s v="Direct Sales"/>
    <x:s v="North America"/>
    <x:d v="2025-10-30T00:00:00"/>
    <x:s v="No"/>
    <x:m/>
    <x:s v=""/>
    <x:n v="2"/>
    <x:n v="10"/>
    <x:n v="63"/>
    <x:s v="No"/>
    <x:n v="0"/>
  </x:r>
  <x:r>
    <x:s v="CUST-0094"/>
    <x:x v="2"/>
    <x:x v="0"/>
    <x:s v="Education"/>
    <x:s v="500+"/>
    <x:n v="234"/>
    <x:n v="7154.05"/>
    <x:s v="Partner"/>
    <x:s v="North America"/>
    <x:d v="2022-07-29T00:00:00"/>
    <x:s v="Yes"/>
    <x:d v="2025-09-30T00:00:00"/>
    <x:s v="Poor Support"/>
    <x:n v="4"/>
    <x:n v="6"/>
    <x:n v="14"/>
    <x:s v="No"/>
    <x:n v="1"/>
  </x:r>
  <x:r>
    <x:s v="CUST-0095"/>
    <x:x v="0"/>
    <x:x v="0"/>
    <x:s v="Finance"/>
    <x:s v="11-50"/>
    <x:n v="14"/>
    <x:n v="233.05"/>
    <x:s v="Paid Ads"/>
    <x:s v="North America"/>
    <x:d v="2022-10-25T00:00:00"/>
    <x:s v="Yes"/>
    <x:d v="2023-04-09T00:00:00"/>
    <x:s v="Budget Cuts"/>
    <x:n v="5"/>
    <x:n v="6"/>
    <x:n v="11"/>
    <x:s v="No"/>
    <x:n v="1"/>
  </x:r>
  <x:r>
    <x:s v="CUST-0096"/>
    <x:x v="1"/>
    <x:x v="0"/>
    <x:s v="Legal"/>
    <x:s v="11-50"/>
    <x:n v="15"/>
    <x:n v="89.9"/>
    <x:s v="Direct Sales"/>
    <x:s v="North America"/>
    <x:d v="2023-08-31T00:00:00"/>
    <x:s v="Yes"/>
    <x:d v="2023-09-26T00:00:00"/>
    <x:s v="Price Too High"/>
    <x:n v="12"/>
    <x:n v="1"/>
    <x:n v="12"/>
    <x:s v="No"/>
    <x:n v="1"/>
  </x:r>
  <x:r>
    <x:s v="CUST-0097"/>
    <x:x v="3"/>
    <x:x v="0"/>
    <x:s v="Education"/>
    <x:s v="51-200"/>
    <x:n v="31"/>
    <x:n v="2744.5"/>
    <x:s v="Organic Search"/>
    <x:s v="North America"/>
    <x:d v="2023-10-16T00:00:00"/>
    <x:s v="No"/>
    <x:m/>
    <x:s v=""/>
    <x:n v="1"/>
    <x:n v="1"/>
    <x:n v="22"/>
    <x:s v="No"/>
    <x:n v="0"/>
  </x:r>
  <x:r>
    <x:s v="CUST-0098"/>
    <x:x v="0"/>
    <x:x v="1"/>
    <x:s v="Consulting"/>
    <x:s v="1-10"/>
    <x:n v="8"/>
    <x:n v="137.66"/>
    <x:s v="Organic Search"/>
    <x:s v="North America"/>
    <x:d v="2025-11-28T00:00:00"/>
    <x:s v="Yes"/>
    <x:d v="2025-12-14T00:00:00"/>
    <x:s v="Company Closed"/>
    <x:n v="10"/>
    <x:n v="6"/>
    <x:n v="43"/>
    <x:s v="No"/>
    <x:n v="1"/>
  </x:r>
  <x:r>
    <x:s v="CUST-0099"/>
    <x:x v="3"/>
    <x:x v="0"/>
    <x:s v="Manufacturing"/>
    <x:s v="11-50"/>
    <x:n v="6"/>
    <x:n v="873.25"/>
    <x:s v="Organic Search"/>
    <x:s v="Asia Pacific"/>
    <x:d v="2022-08-19T00:00:00"/>
    <x:s v="No"/>
    <x:m/>
    <x:s v=""/>
    <x:n v="3"/>
    <x:n v="4"/>
    <x:n v="70"/>
    <x:s v="No"/>
    <x:n v="0"/>
  </x:r>
  <x:r>
    <x:s v="CUST-0100"/>
    <x:x v="2"/>
    <x:x v="0"/>
    <x:s v="Real Estate"/>
    <x:s v="11-50"/>
    <x:n v="17"/>
    <x:n v="676.6"/>
    <x:s v="Paid Ads"/>
    <x:s v="Europe"/>
    <x:d v="2023-06-11T00:00:00"/>
    <x:s v="No"/>
    <x:m/>
    <x:s v=""/>
    <x:n v="1"/>
    <x:n v="4"/>
    <x:n v="17"/>
    <x:s v="No"/>
    <x:n v="0"/>
  </x:r>
  <x:r>
    <x:s v="CUST-0101"/>
    <x:x v="1"/>
    <x:x v="0"/>
    <x:s v="Legal"/>
    <x:s v="1-10"/>
    <x:n v="2"/>
    <x:n v="33.35"/>
    <x:s v="Organic Search"/>
    <x:s v="North America"/>
    <x:d v="2024-12-03T00:00:00"/>
    <x:s v="Yes"/>
    <x:d v="2025-01-28T00:00:00"/>
    <x:s v="Company Closed"/>
    <x:n v="6"/>
    <x:n v="3"/>
    <x:n v="15"/>
    <x:s v="No"/>
    <x:n v="1"/>
  </x:r>
  <x:r>
    <x:s v="CUST-0102"/>
    <x:x v="0"/>
    <x:x v="0"/>
    <x:s v="Consulting"/>
    <x:s v="500+"/>
    <x:n v="62"/>
    <x:n v="801.85"/>
    <x:s v="Referral"/>
    <x:s v="Latin America"/>
    <x:d v="2023-11-03T00:00:00"/>
    <x:s v="No"/>
    <x:m/>
    <x:s v=""/>
    <x:n v="11"/>
    <x:n v="7"/>
    <x:n v="88"/>
    <x:s v="No"/>
    <x:n v="0"/>
  </x:r>
  <x:r>
    <x:s v="CUST-0103"/>
    <x:x v="0"/>
    <x:x v="0"/>
    <x:s v="Consulting"/>
    <x:s v="1-10"/>
    <x:n v="4"/>
    <x:n v="114.55"/>
    <x:s v="Social Media"/>
    <x:s v="Europe"/>
    <x:d v="2024-04-24T00:00:00"/>
    <x:s v="No"/>
    <x:m/>
    <x:s v=""/>
    <x:n v="0"/>
    <x:n v="6"/>
    <x:n v="32"/>
    <x:s v="No"/>
    <x:n v="0"/>
  </x:r>
  <x:r>
    <x:s v="CUST-0104"/>
    <x:x v="2"/>
    <x:x v="0"/>
    <x:s v="Education"/>
    <x:s v="11-50"/>
    <x:n v="17"/>
    <x:n v="676.6"/>
    <x:s v="Organic Search"/>
    <x:s v="Europe"/>
    <x:d v="2024-11-30T00:00:00"/>
    <x:s v="Yes"/>
    <x:d v="2025-05-31T00:00:00"/>
    <x:s v="Budget Cuts"/>
    <x:n v="12"/>
    <x:n v="1"/>
    <x:n v="30"/>
    <x:s v="No"/>
    <x:n v="1"/>
  </x:r>
  <x:r>
    <x:s v="CUST-0105"/>
    <x:x v="0"/>
    <x:x v="0"/>
    <x:s v="Manufacturing"/>
    <x:s v="201-500"/>
    <x:n v="42"/>
    <x:n v="564.85"/>
    <x:s v="Paid Ads"/>
    <x:s v="Latin America"/>
    <x:d v="2023-12-21T00:00:00"/>
    <x:s v="No"/>
    <x:m/>
    <x:s v=""/>
    <x:n v="6"/>
    <x:n v="5"/>
    <x:n v="53"/>
    <x:s v="Yes"/>
    <x:n v="0"/>
  </x:r>
  <x:r>
    <x:s v="CUST-0106"/>
    <x:x v="1"/>
    <x:x v="0"/>
    <x:s v="Retail"/>
    <x:s v="1-10"/>
    <x:n v="1"/>
    <x:n v="29"/>
    <x:s v="Referral"/>
    <x:s v="Asia Pacific"/>
    <x:d v="2024-11-18T00:00:00"/>
    <x:s v="Yes"/>
    <x:d v="2025-02-24T00:00:00"/>
    <x:s v="Poor Support"/>
    <x:n v="4"/>
    <x:n v="3"/>
    <x:n v="20"/>
    <x:s v="No"/>
    <x:n v="1"/>
  </x:r>
  <x:r>
    <x:s v="CUST-0107"/>
    <x:x v="2"/>
    <x:x v="0"/>
    <x:s v="Legal"/>
    <x:s v="500+"/>
    <x:n v="139"/>
    <x:n v="4318.3"/>
    <x:s v="Referral"/>
    <x:s v="Europe"/>
    <x:d v="2022-08-18T00:00:00"/>
    <x:s v="Yes"/>
    <x:d v="2024-05-09T00:00:00"/>
    <x:s v="No Longer Needed"/>
    <x:n v="11"/>
    <x:n v="2"/>
    <x:n v="24"/>
    <x:s v="No"/>
    <x:n v="1"/>
  </x:r>
  <x:r>
    <x:s v="CUST-0108"/>
    <x:x v="2"/>
    <x:x v="1"/>
    <x:s v="Consulting"/>
    <x:s v="51-200"/>
    <x:n v="30"/>
    <x:n v="904.95"/>
    <x:s v="Organic Search"/>
    <x:s v="North America"/>
    <x:d v="2025-08-16T00:00:00"/>
    <x:s v="No"/>
    <x:m/>
    <x:s v=""/>
    <x:n v="11"/>
    <x:n v="5"/>
    <x:n v="48"/>
    <x:s v="No"/>
    <x:n v="0"/>
  </x:r>
  <x:r>
    <x:s v="CUST-0109"/>
    <x:x v="2"/>
    <x:x v="1"/>
    <x:s v="Finance"/>
    <x:s v="51-200"/>
    <x:n v="16"/>
    <x:n v="549.74"/>
    <x:s v="Organic Search"/>
    <x:s v="Asia Pacific"/>
    <x:d v="2022-11-03T00:00:00"/>
    <x:s v="No"/>
    <x:m/>
    <x:s v=""/>
    <x:n v="0"/>
    <x:n v="9"/>
    <x:n v="57"/>
    <x:s v="No"/>
    <x:n v="0"/>
  </x:r>
  <x:r>
    <x:s v="CUST-0110"/>
    <x:x v="0"/>
    <x:x v="1"/>
    <x:s v="Retail"/>
    <x:s v="201-500"/>
    <x:n v="58"/>
    <x:n v="641.28"/>
    <x:s v="Referral"/>
    <x:s v="Europe"/>
    <x:d v="2023-10-02T00:00:00"/>
    <x:s v="Yes"/>
    <x:d v="2025-05-01T00:00:00"/>
    <x:s v="Missing Features"/>
    <x:n v="12"/>
    <x:n v="3"/>
    <x:n v="38"/>
    <x:s v="No"/>
    <x:n v="1"/>
  </x:r>
  <x:r>
    <x:s v="CUST-0111"/>
    <x:x v="1"/>
    <x:x v="1"/>
    <x:s v="Consulting"/>
    <x:s v="11-50"/>
    <x:n v="5"/>
    <x:n v="39.44"/>
    <x:s v="Partner"/>
    <x:s v="Europe"/>
    <x:d v="2022-12-22T00:00:00"/>
    <x:s v="Yes"/>
    <x:d v="2023-11-12T00:00:00"/>
    <x:s v="Switched Competitor"/>
    <x:n v="15"/>
    <x:n v="5"/>
    <x:n v="29"/>
    <x:s v="No"/>
    <x:n v="1"/>
  </x:r>
  <x:r>
    <x:s v="CUST-0112"/>
    <x:x v="0"/>
    <x:x v="0"/>
    <x:s v="Finance"/>
    <x:s v="201-500"/>
    <x:n v="42"/>
    <x:n v="564.85"/>
    <x:s v="Direct Sales"/>
    <x:s v="North America"/>
    <x:d v="2022-01-27T00:00:00"/>
    <x:s v="Yes"/>
    <x:d v="2022-05-07T00:00:00"/>
    <x:s v="Budget Cuts"/>
    <x:n v="7"/>
    <x:n v="2"/>
    <x:n v="40"/>
    <x:s v="No"/>
    <x:n v="1"/>
  </x:r>
  <x:r>
    <x:s v="CUST-0113"/>
    <x:x v="2"/>
    <x:x v="0"/>
    <x:s v="Consulting"/>
    <x:s v="11-50"/>
    <x:n v="20"/>
    <x:n v="766.15"/>
    <x:s v="Referral"/>
    <x:s v="North America"/>
    <x:d v="2023-06-10T00:00:00"/>
    <x:s v="Yes"/>
    <x:d v="2023-10-31T00:00:00"/>
    <x:s v="Company Closed"/>
    <x:n v="3"/>
    <x:n v="4"/>
    <x:n v="22"/>
    <x:s v="No"/>
    <x:n v="1"/>
  </x:r>
  <x:r>
    <x:s v="CUST-0114"/>
    <x:x v="1"/>
    <x:x v="0"/>
    <x:s v="Technology"/>
    <x:s v="500+"/>
    <x:n v="235"/>
    <x:n v="1046.9"/>
    <x:s v="Referral"/>
    <x:s v="Asia Pacific"/>
    <x:d v="2022-06-06T00:00:00"/>
    <x:s v="Yes"/>
    <x:d v="2022-06-19T00:00:00"/>
    <x:s v="Company Closed"/>
    <x:n v="11"/>
    <x:n v="1"/>
    <x:n v="23"/>
    <x:s v="No"/>
    <x:n v="1"/>
  </x:r>
  <x:r>
    <x:s v="CUST-0115"/>
    <x:x v="1"/>
    <x:x v="1"/>
    <x:s v="Legal"/>
    <x:s v="201-500"/>
    <x:n v="31"/>
    <x:n v="135.57"/>
    <x:s v="Organic Search"/>
    <x:s v="Latin America"/>
    <x:d v="2024-08-28T00:00:00"/>
    <x:s v="No"/>
    <x:m/>
    <x:s v=""/>
    <x:n v="0"/>
    <x:n v="5"/>
    <x:n v="75"/>
    <x:s v="No"/>
    <x:n v="0"/>
  </x:r>
  <x:r>
    <x:s v="CUST-0116"/>
    <x:x v="0"/>
    <x:x v="0"/>
    <x:s v="Technology"/>
    <x:s v="51-200"/>
    <x:n v="16"/>
    <x:n v="256.75"/>
    <x:s v="Organic Search"/>
    <x:s v="North America"/>
    <x:d v="2025-09-03T00:00:00"/>
    <x:s v="No"/>
    <x:m/>
    <x:s v=""/>
    <x:n v="0"/>
    <x:n v="2"/>
    <x:n v="25"/>
    <x:s v="No"/>
    <x:n v="0"/>
  </x:r>
  <x:r>
    <x:s v="CUST-0117"/>
    <x:x v="0"/>
    <x:x v="1"/>
    <x:s v="Media"/>
    <x:s v="51-200"/>
    <x:n v="25"/>
    <x:n v="308.89"/>
    <x:s v="Paid Ads"/>
    <x:s v="Asia Pacific"/>
    <x:d v="2024-03-13T00:00:00"/>
    <x:s v="Yes"/>
    <x:d v="2025-06-14T00:00:00"/>
    <x:s v="Budget Cuts"/>
    <x:n v="0"/>
    <x:n v="2"/>
    <x:n v="28"/>
    <x:s v="No"/>
    <x:n v="1"/>
  </x:r>
  <x:r>
    <x:s v="CUST-0118"/>
    <x:x v="0"/>
    <x:x v="0"/>
    <x:s v="Manufacturing"/>
    <x:s v="11-50"/>
    <x:n v="17"/>
    <x:n v="268.6"/>
    <x:s v="Partner"/>
    <x:s v="Europe"/>
    <x:d v="2024-12-31T00:00:00"/>
    <x:s v="Yes"/>
    <x:d v="2025-03-14T00:00:00"/>
    <x:s v="No Longer Needed"/>
    <x:n v="0"/>
    <x:n v="5"/>
    <x:n v="25"/>
    <x:s v="No"/>
    <x:n v="1"/>
  </x:r>
  <x:r>
    <x:s v="CUST-0119"/>
    <x:x v="0"/>
    <x:x v="0"/>
    <x:s v="Education"/>
    <x:s v="11-50"/>
    <x:n v="28"/>
    <x:n v="398.95"/>
    <x:s v="Organic Search"/>
    <x:s v="North America"/>
    <x:d v="2022-11-01T00:00:00"/>
    <x:s v="No"/>
    <x:m/>
    <x:s v=""/>
    <x:n v="9"/>
    <x:n v="8"/>
    <x:n v="44"/>
    <x:s v="No"/>
    <x:n v="0"/>
  </x:r>
  <x:r>
    <x:s v="CUST-0120"/>
    <x:x v="0"/>
    <x:x v="1"/>
    <x:s v="Finance"/>
    <x:s v="1-10"/>
    <x:n v="2"/>
    <x:n v="77.22"/>
    <x:s v="Partner"/>
    <x:s v="North America"/>
    <x:d v="2022-03-26T00:00:00"/>
    <x:s v="No"/>
    <x:m/>
    <x:s v=""/>
    <x:n v="3"/>
    <x:n v="4"/>
    <x:n v="22"/>
    <x:s v="No"/>
    <x:n v="0"/>
  </x:r>
  <x:r>
    <x:s v="CUST-0121"/>
    <x:x v="1"/>
    <x:x v="1"/>
    <x:s v="Media"/>
    <x:s v="11-50"/>
    <x:n v="32"/>
    <x:n v="139.27"/>
    <x:s v="Organic Search"/>
    <x:s v="North America"/>
    <x:d v="2025-07-18T00:00:00"/>
    <x:s v="No"/>
    <x:m/>
    <x:s v=""/>
    <x:n v="6"/>
    <x:n v="2"/>
    <x:n v="81"/>
    <x:s v="No"/>
    <x:n v="0"/>
  </x:r>
  <x:r>
    <x:s v="CUST-0122"/>
    <x:x v="2"/>
    <x:x v="0"/>
    <x:s v="Manufacturing"/>
    <x:s v="51-200"/>
    <x:n v="72"/>
    <x:n v="2318.35"/>
    <x:s v="Paid Ads"/>
    <x:s v="North America"/>
    <x:d v="2024-07-07T00:00:00"/>
    <x:s v="No"/>
    <x:m/>
    <x:s v=""/>
    <x:n v="4"/>
    <x:n v="7"/>
    <x:n v="50"/>
    <x:s v="Yes"/>
    <x:n v="0"/>
  </x:r>
  <x:r>
    <x:s v="CUST-0123"/>
    <x:x v="1"/>
    <x:x v="1"/>
    <x:s v="Healthcare"/>
    <x:s v="51-200"/>
    <x:n v="26"/>
    <x:n v="117.09"/>
    <x:s v="Organic Search"/>
    <x:s v="Asia Pacific"/>
    <x:d v="2024-07-13T00:00:00"/>
    <x:s v="No"/>
    <x:m/>
    <x:s v=""/>
    <x:n v="4"/>
    <x:n v="4"/>
    <x:n v="48"/>
    <x:s v="No"/>
    <x:n v="0"/>
  </x:r>
  <x:r>
    <x:s v="CUST-0124"/>
    <x:x v="0"/>
    <x:x v="0"/>
    <x:s v="Legal"/>
    <x:s v="51-200"/>
    <x:n v="71"/>
    <x:n v="908.5"/>
    <x:s v="Referral"/>
    <x:s v="North America"/>
    <x:d v="2022-12-15T00:00:00"/>
    <x:s v="No"/>
    <x:m/>
    <x:s v=""/>
    <x:n v="2"/>
    <x:n v="5"/>
    <x:n v="31"/>
    <x:s v="No"/>
    <x:n v="0"/>
  </x:r>
  <x:r>
    <x:s v="CUST-0125"/>
    <x:x v="2"/>
    <x:x v="1"/>
    <x:s v="Legal"/>
    <x:s v="1-10"/>
    <x:n v="4"/>
    <x:n v="245.27"/>
    <x:s v="Paid Ads"/>
    <x:s v="Europe"/>
    <x:d v="2025-03-12T00:00:00"/>
    <x:s v="No"/>
    <x:m/>
    <x:s v=""/>
    <x:n v="11"/>
    <x:n v="6"/>
    <x:n v="36"/>
    <x:s v="Yes"/>
    <x:n v="0"/>
  </x:r>
  <x:r>
    <x:s v="CUST-0126"/>
    <x:x v="0"/>
    <x:x v="0"/>
    <x:s v="Healthcare"/>
    <x:s v="11-50"/>
    <x:n v="20"/>
    <x:n v="304.15"/>
    <x:s v="Organic Search"/>
    <x:s v="North America"/>
    <x:d v="2023-06-14T00:00:00"/>
    <x:s v="No"/>
    <x:m/>
    <x:s v=""/>
    <x:n v="1"/>
    <x:n v="5"/>
    <x:n v="40"/>
    <x:s v="Yes"/>
    <x:n v="0"/>
  </x:r>
  <x:r>
    <x:s v="CUST-0127"/>
    <x:x v="1"/>
    <x:x v="0"/>
    <x:s v="Consulting"/>
    <x:s v="11-50"/>
    <x:n v="27"/>
    <x:n v="142.1"/>
    <x:s v="Paid Ads"/>
    <x:s v="North America"/>
    <x:d v="2024-12-10T00:00:00"/>
    <x:s v="Yes"/>
    <x:d v="2025-01-15T00:00:00"/>
    <x:s v="Company Closed"/>
    <x:n v="3"/>
    <x:n v="3"/>
    <x:n v="38"/>
    <x:s v="No"/>
    <x:n v="1"/>
  </x:r>
  <x:r>
    <x:s v="CUST-0128"/>
    <x:x v="1"/>
    <x:x v="0"/>
    <x:s v="Retail"/>
    <x:s v="201-500"/>
    <x:n v="46"/>
    <x:n v="224.75"/>
    <x:s v="Paid Ads"/>
    <x:s v="Asia Pacific"/>
    <x:d v="2022-12-30T00:00:00"/>
    <x:s v="Yes"/>
    <x:d v="2023-04-24T00:00:00"/>
    <x:s v="No Longer Needed"/>
    <x:n v="10"/>
    <x:n v="2"/>
    <x:n v="33"/>
    <x:s v="No"/>
    <x:n v="1"/>
  </x:r>
  <x:r>
    <x:s v="CUST-0129"/>
    <x:x v="1"/>
    <x:x v="0"/>
    <x:s v="Finance"/>
    <x:s v="51-200"/>
    <x:n v="31"/>
    <x:n v="159.5"/>
    <x:s v="Referral"/>
    <x:s v="North America"/>
    <x:d v="2022-08-24T00:00:00"/>
    <x:s v="Yes"/>
    <x:d v="2022-09-27T00:00:00"/>
    <x:s v="Missing Features"/>
    <x:n v="10"/>
    <x:n v="4"/>
    <x:n v="22"/>
    <x:s v="No"/>
    <x:n v="1"/>
  </x:r>
  <x:r>
    <x:s v="CUST-0130"/>
    <x:x v="0"/>
    <x:x v="0"/>
    <x:s v="Manufacturing"/>
    <x:s v="1-10"/>
    <x:n v="8"/>
    <x:n v="161.95"/>
    <x:s v="Organic Search"/>
    <x:s v="Latin America"/>
    <x:d v="2025-07-04T00:00:00"/>
    <x:s v="No"/>
    <x:m/>
    <x:s v=""/>
    <x:n v="6"/>
    <x:n v="1"/>
    <x:n v="68"/>
    <x:s v="No"/>
    <x:n v="0"/>
  </x:r>
  <x:r>
    <x:s v="CUST-0131"/>
    <x:x v="2"/>
    <x:x v="1"/>
    <x:s v="Legal"/>
    <x:s v="11-50"/>
    <x:n v="6"/>
    <x:n v="296.01"/>
    <x:s v="Partner"/>
    <x:s v="Latin America"/>
    <x:d v="2025-01-02T00:00:00"/>
    <x:s v="No"/>
    <x:m/>
    <x:s v=""/>
    <x:n v="11"/>
    <x:n v="9"/>
    <x:n v="36"/>
    <x:s v="No"/>
    <x:n v="0"/>
  </x:r>
  <x:r>
    <x:s v="CUST-0132"/>
    <x:x v="1"/>
    <x:x v="1"/>
    <x:s v="Consulting"/>
    <x:s v="1-10"/>
    <x:n v="8"/>
    <x:n v="50.53"/>
    <x:s v="Social Media"/>
    <x:s v="North America"/>
    <x:d v="2025-10-20T00:00:00"/>
    <x:s v="No"/>
    <x:m/>
    <x:s v=""/>
    <x:n v="7"/>
    <x:n v="3"/>
    <x:n v="90"/>
    <x:s v="No"/>
    <x:n v="0"/>
  </x:r>
  <x:r>
    <x:s v="CUST-0133"/>
    <x:x v="3"/>
    <x:x v="0"/>
    <x:s v="Consulting"/>
    <x:s v="1-10"/>
    <x:n v="1"/>
    <x:n v="499"/>
    <x:s v="Referral"/>
    <x:s v="North America"/>
    <x:d v="2025-03-11T00:00:00"/>
    <x:s v="No"/>
    <x:m/>
    <x:s v=""/>
    <x:n v="7"/>
    <x:n v="8"/>
    <x:n v="22"/>
    <x:s v="No"/>
    <x:n v="0"/>
  </x:r>
  <x:r>
    <x:s v="CUST-0134"/>
    <x:x v="2"/>
    <x:x v="1"/>
    <x:s v="Manufacturing"/>
    <x:s v="51-200"/>
    <x:n v="71"/>
    <x:n v="1945.22"/>
    <x:s v="Referral"/>
    <x:s v="Latin America"/>
    <x:d v="2022-02-15T00:00:00"/>
    <x:s v="Yes"/>
    <x:d v="2025-07-10T00:00:00"/>
    <x:s v="Missing Features"/>
    <x:n v="11"/>
    <x:n v="5"/>
    <x:n v="31"/>
    <x:s v="No"/>
    <x:n v="1"/>
  </x:r>
  <x:r>
    <x:s v="CUST-0135"/>
    <x:x v="0"/>
    <x:x v="0"/>
    <x:s v="Retail"/>
    <x:s v="11-50"/>
    <x:n v="25"/>
    <x:n v="363.4"/>
    <x:s v="Paid Ads"/>
    <x:s v="Asia Pacific"/>
    <x:d v="2022-08-16T00:00:00"/>
    <x:s v="No"/>
    <x:m/>
    <x:s v=""/>
    <x:n v="5"/>
    <x:n v="9"/>
    <x:n v="85"/>
    <x:s v="No"/>
    <x:n v="0"/>
  </x:r>
  <x:r>
    <x:s v="CUST-0136"/>
    <x:x v="0"/>
    <x:x v="1"/>
    <x:s v="Technology"/>
    <x:s v="500+"/>
    <x:n v="106"/>
    <x:n v="1124.76"/>
    <x:s v="Partner"/>
    <x:s v="North America"/>
    <x:d v="2022-03-06T00:00:00"/>
    <x:s v="No"/>
    <x:m/>
    <x:s v=""/>
    <x:n v="4"/>
    <x:n v="4"/>
    <x:n v="87"/>
    <x:s v="No"/>
    <x:n v="0"/>
  </x:r>
  <x:r>
    <x:s v="CUST-0137"/>
    <x:x v="1"/>
    <x:x v="1"/>
    <x:s v="Real Estate"/>
    <x:s v="11-50"/>
    <x:n v="9"/>
    <x:n v="54.23"/>
    <x:s v="Organic Search"/>
    <x:s v="North America"/>
    <x:d v="2023-05-07T00:00:00"/>
    <x:s v="Yes"/>
    <x:d v="2024-02-16T00:00:00"/>
    <x:s v="Poor Support"/>
    <x:n v="4"/>
    <x:n v="2"/>
    <x:n v="41"/>
    <x:s v="No"/>
    <x:n v="1"/>
  </x:r>
  <x:r>
    <x:s v="CUST-0138"/>
    <x:x v="1"/>
    <x:x v="0"/>
    <x:s v="Healthcare"/>
    <x:s v="11-50"/>
    <x:n v="21"/>
    <x:n v="116"/>
    <x:s v="Direct Sales"/>
    <x:s v="Europe"/>
    <x:d v="2022-08-01T00:00:00"/>
    <x:s v="Yes"/>
    <x:d v="2022-09-08T00:00:00"/>
    <x:s v="Price Too High"/>
    <x:n v="1"/>
    <x:n v="3"/>
    <x:n v="19"/>
    <x:s v="No"/>
    <x:n v="1"/>
  </x:r>
  <x:r>
    <x:s v="CUST-0139"/>
    <x:x v="1"/>
    <x:x v="0"/>
    <x:s v="Finance"/>
    <x:s v="11-50"/>
    <x:n v="5"/>
    <x:n v="46.4"/>
    <x:s v="Referral"/>
    <x:s v="North America"/>
    <x:d v="2025-01-06T00:00:00"/>
    <x:s v="Yes"/>
    <x:d v="2025-12-19T00:00:00"/>
    <x:s v="Budget Cuts"/>
    <x:n v="7"/>
    <x:n v="3"/>
    <x:n v="22"/>
    <x:s v="No"/>
    <x:n v="1"/>
  </x:r>
  <x:r>
    <x:s v="CUST-0140"/>
    <x:x v="1"/>
    <x:x v="0"/>
    <x:s v="Retail"/>
    <x:s v="201-500"/>
    <x:n v="131"/>
    <x:n v="594.5"/>
    <x:s v="Partner"/>
    <x:s v="North America"/>
    <x:d v="2022-02-21T00:00:00"/>
    <x:s v="Yes"/>
    <x:d v="2022-07-22T00:00:00"/>
    <x:s v="Company Closed"/>
    <x:n v="9"/>
    <x:n v="3"/>
    <x:n v="16"/>
    <x:s v="No"/>
    <x:n v="1"/>
  </x:r>
  <x:r>
    <x:s v="CUST-0141"/>
    <x:x v="2"/>
    <x:x v="1"/>
    <x:s v="Legal"/>
    <x:s v="51-200"/>
    <x:n v="18"/>
    <x:n v="600.48"/>
    <x:s v="Paid Ads"/>
    <x:s v="North America"/>
    <x:d v="2024-03-17T00:00:00"/>
    <x:s v="No"/>
    <x:m/>
    <x:s v=""/>
    <x:n v="8"/>
    <x:n v="4"/>
    <x:n v="33"/>
    <x:s v="No"/>
    <x:n v="0"/>
  </x:r>
  <x:r>
    <x:s v="CUST-0142"/>
    <x:x v="1"/>
    <x:x v="1"/>
    <x:s v="Education"/>
    <x:s v="51-200"/>
    <x:n v="28"/>
    <x:n v="124.48"/>
    <x:s v="Social Media"/>
    <x:s v="North America"/>
    <x:d v="2024-08-30T00:00:00"/>
    <x:s v="No"/>
    <x:m/>
    <x:s v=""/>
    <x:n v="8"/>
    <x:n v="3"/>
    <x:n v="32"/>
    <x:s v="No"/>
    <x:n v="0"/>
  </x:r>
  <x:r>
    <x:s v="CUST-0143"/>
    <x:x v="2"/>
    <x:x v="1"/>
    <x:s v="Finance"/>
    <x:s v="1-10"/>
    <x:n v="7"/>
    <x:n v="321.38"/>
    <x:s v="Organic Search"/>
    <x:s v="North America"/>
    <x:d v="2025-09-28T00:00:00"/>
    <x:s v="No"/>
    <x:m/>
    <x:s v=""/>
    <x:n v="12"/>
    <x:n v="1"/>
    <x:n v="43"/>
    <x:s v="No"/>
    <x:n v="0"/>
  </x:r>
  <x:r>
    <x:s v="CUST-0144"/>
    <x:x v="1"/>
    <x:x v="0"/>
    <x:s v="Real Estate"/>
    <x:s v="1-10"/>
    <x:n v="6"/>
    <x:n v="50.75"/>
    <x:s v="Organic Search"/>
    <x:s v="North America"/>
    <x:d v="2023-04-02T00:00:00"/>
    <x:s v="Yes"/>
    <x:d v="2023-07-22T00:00:00"/>
    <x:s v="Missing Features"/>
    <x:n v="3"/>
    <x:n v="1"/>
    <x:n v="44"/>
    <x:s v="No"/>
    <x:n v="1"/>
  </x:r>
  <x:r>
    <x:s v="CUST-0145"/>
    <x:x v="0"/>
    <x:x v="1"/>
    <x:s v="Finance"/>
    <x:s v="11-50"/>
    <x:n v="8"/>
    <x:n v="137.66"/>
    <x:s v="Direct Sales"/>
    <x:s v="North America"/>
    <x:d v="2023-12-17T00:00:00"/>
    <x:s v="Yes"/>
    <x:d v="2024-11-17T00:00:00"/>
    <x:s v="Poor Support"/>
    <x:n v="3"/>
    <x:n v="3"/>
    <x:n v="30"/>
    <x:s v="No"/>
    <x:n v="1"/>
  </x:r>
  <x:r>
    <x:s v="CUST-0146"/>
    <x:x v="3"/>
    <x:x v="0"/>
    <x:s v="Legal"/>
    <x:s v="11-50"/>
    <x:n v="15"/>
    <x:n v="1546.9"/>
    <x:s v="Organic Search"/>
    <x:s v="North America"/>
    <x:d v="2022-06-27T00:00:00"/>
    <x:s v="No"/>
    <x:m/>
    <x:s v=""/>
    <x:n v="1"/>
    <x:n v="5"/>
    <x:n v="61"/>
    <x:s v="No"/>
    <x:n v="0"/>
  </x:r>
  <x:r>
    <x:s v="CUST-0147"/>
    <x:x v="1"/>
    <x:x v="1"/>
    <x:s v="Manufacturing"/>
    <x:s v="1-10"/>
    <x:n v="6"/>
    <x:n v="43.14"/>
    <x:s v="Paid Ads"/>
    <x:s v="North America"/>
    <x:d v="2023-10-05T00:00:00"/>
    <x:s v="Yes"/>
    <x:d v="2023-11-21T00:00:00"/>
    <x:s v="Price Too High"/>
    <x:n v="5"/>
    <x:n v="3"/>
    <x:n v="15"/>
    <x:s v="No"/>
    <x:n v="1"/>
  </x:r>
  <x:r>
    <x:s v="CUST-0148"/>
    <x:x v="3"/>
    <x:x v="0"/>
    <x:s v="Media"/>
    <x:s v="51-200"/>
    <x:n v="73"/>
    <x:n v="5888.2"/>
    <x:s v="Organic Search"/>
    <x:s v="Europe"/>
    <x:d v="2025-02-26T00:00:00"/>
    <x:s v="No"/>
    <x:m/>
    <x:s v=""/>
    <x:n v="5"/>
    <x:n v="2"/>
    <x:n v="54"/>
    <x:s v="No"/>
    <x:n v="0"/>
  </x:r>
  <x:r>
    <x:s v="CUST-0149"/>
    <x:x v="0"/>
    <x:x v="0"/>
    <x:s v="Manufacturing"/>
    <x:s v="1-10"/>
    <x:n v="1"/>
    <x:n v="79"/>
    <x:s v="Direct Sales"/>
    <x:s v="North America"/>
    <x:d v="2025-07-28T00:00:00"/>
    <x:s v="No"/>
    <x:m/>
    <x:s v=""/>
    <x:n v="11"/>
    <x:n v="6"/>
    <x:n v="74"/>
    <x:s v="No"/>
    <x:n v="0"/>
  </x:r>
  <x:r>
    <x:s v="CUST-0150"/>
    <x:x v="0"/>
    <x:x v="0"/>
    <x:s v="Manufacturing"/>
    <x:s v="11-50"/>
    <x:n v="26"/>
    <x:n v="375.25"/>
    <x:s v="Organic Search"/>
    <x:s v="Latin America"/>
    <x:d v="2023-07-02T00:00:00"/>
    <x:s v="Yes"/>
    <x:d v="2024-02-24T00:00:00"/>
    <x:s v="Price Too High"/>
    <x:n v="13"/>
    <x:n v="1"/>
    <x:n v="29"/>
    <x:s v="No"/>
    <x:n v="1"/>
  </x:r>
  <x:r>
    <x:s v="CUST-0151"/>
    <x:x v="1"/>
    <x:x v="0"/>
    <x:s v="Retail"/>
    <x:s v="1-10"/>
    <x:n v="5"/>
    <x:n v="46.4"/>
    <x:s v="Social Media"/>
    <x:s v="North America"/>
    <x:d v="2024-05-26T00:00:00"/>
    <x:s v="Yes"/>
    <x:d v="2024-12-06T00:00:00"/>
    <x:s v="No Longer Needed"/>
    <x:n v="7"/>
    <x:n v="5"/>
    <x:n v="15"/>
    <x:s v="No"/>
    <x:n v="1"/>
  </x:r>
  <x:r>
    <x:s v="CUST-0152"/>
    <x:x v="2"/>
    <x:x v="1"/>
    <x:s v="Retail"/>
    <x:s v="500+"/>
    <x:n v="199"/>
    <x:n v="5192.9"/>
    <x:s v="Partner"/>
    <x:s v="North America"/>
    <x:d v="2023-06-09T00:00:00"/>
    <x:s v="Yes"/>
    <x:d v="2024-08-22T00:00:00"/>
    <x:s v="Poor Support"/>
    <x:n v="4"/>
    <x:n v="5"/>
    <x:n v="36"/>
    <x:s v="No"/>
    <x:n v="1"/>
  </x:r>
  <x:r>
    <x:s v="CUST-0153"/>
    <x:x v="1"/>
    <x:x v="0"/>
    <x:s v="Retail"/>
    <x:s v="1-10"/>
    <x:n v="6"/>
    <x:n v="50.75"/>
    <x:s v="Partner"/>
    <x:s v="North America"/>
    <x:d v="2025-05-09T00:00:00"/>
    <x:s v="Yes"/>
    <x:d v="2025-11-30T00:00:00"/>
    <x:s v="Budget Cuts"/>
    <x:n v="8"/>
    <x:n v="4"/>
    <x:n v="18"/>
    <x:s v="No"/>
    <x:n v="1"/>
  </x:r>
  <x:r>
    <x:s v="CUST-0154"/>
    <x:x v="0"/>
    <x:x v="1"/>
    <x:s v="Legal"/>
    <x:s v="1-10"/>
    <x:n v="1"/>
    <x:n v="67.15"/>
    <x:s v="Partner"/>
    <x:s v="Europe"/>
    <x:d v="2024-08-11T00:00:00"/>
    <x:s v="Yes"/>
    <x:d v="2025-02-26T00:00:00"/>
    <x:s v="Poor Support"/>
    <x:n v="1"/>
    <x:n v="5"/>
    <x:n v="14"/>
    <x:s v="No"/>
    <x:n v="1"/>
  </x:r>
  <x:r>
    <x:s v="CUST-0155"/>
    <x:x v="1"/>
    <x:x v="0"/>
    <x:s v="Consulting"/>
    <x:s v="500+"/>
    <x:n v="230"/>
    <x:n v="1025.15"/>
    <x:s v="Referral"/>
    <x:s v="Asia Pacific"/>
    <x:d v="2022-10-14T00:00:00"/>
    <x:s v="Yes"/>
    <x:d v="2024-04-03T00:00:00"/>
    <x:s v="Price Too High"/>
    <x:n v="6"/>
    <x:n v="2"/>
    <x:n v="35"/>
    <x:s v="No"/>
    <x:n v="1"/>
  </x:r>
  <x:r>
    <x:s v="CUST-0156"/>
    <x:x v="2"/>
    <x:x v="0"/>
    <x:s v="Healthcare"/>
    <x:s v="11-50"/>
    <x:n v="7"/>
    <x:n v="378.1"/>
    <x:s v="Organic Search"/>
    <x:s v="North America"/>
    <x:d v="2024-09-20T00:00:00"/>
    <x:s v="No"/>
    <x:m/>
    <x:s v=""/>
    <x:n v="4"/>
    <x:n v="5"/>
    <x:n v="83"/>
    <x:s v="No"/>
    <x:n v="0"/>
  </x:r>
  <x:r>
    <x:s v="CUST-0157"/>
    <x:x v="0"/>
    <x:x v="1"/>
    <x:s v="Education"/>
    <x:s v="1-10"/>
    <x:n v="5"/>
    <x:n v="107.44"/>
    <x:s v="Direct Sales"/>
    <x:s v="Europe"/>
    <x:d v="2023-08-06T00:00:00"/>
    <x:s v="No"/>
    <x:m/>
    <x:s v=""/>
    <x:n v="9"/>
    <x:n v="2"/>
    <x:n v="80"/>
    <x:s v="No"/>
    <x:n v="0"/>
  </x:r>
  <x:r>
    <x:s v="CUST-0158"/>
    <x:x v="3"/>
    <x:x v="0"/>
    <x:s v="Technology"/>
    <x:s v="11-50"/>
    <x:n v="20"/>
    <x:n v="1921.15"/>
    <x:s v="Organic Search"/>
    <x:s v="Latin America"/>
    <x:d v="2023-04-18T00:00:00"/>
    <x:s v="No"/>
    <x:m/>
    <x:s v=""/>
    <x:n v="6"/>
    <x:n v="2"/>
    <x:n v="35"/>
    <x:s v="No"/>
    <x:n v="0"/>
  </x:r>
  <x:r>
    <x:s v="CUST-0159"/>
    <x:x v="1"/>
    <x:x v="1"/>
    <x:s v="Manufacturing"/>
    <x:s v="51-200"/>
    <x:n v="66"/>
    <x:n v="264.99"/>
    <x:s v="Referral"/>
    <x:s v="Asia Pacific"/>
    <x:d v="2025-10-25T00:00:00"/>
    <x:s v="No"/>
    <x:m/>
    <x:s v=""/>
    <x:n v="8"/>
    <x:n v="8"/>
    <x:n v="30"/>
    <x:s v="No"/>
    <x:n v="0"/>
  </x:r>
  <x:r>
    <x:s v="CUST-0160"/>
    <x:x v="0"/>
    <x:x v="1"/>
    <x:s v="Legal"/>
    <x:s v="51-200"/>
    <x:n v="71"/>
    <x:n v="772.22"/>
    <x:s v="Organic Search"/>
    <x:s v="Asia Pacific"/>
    <x:d v="2025-01-07T00:00:00"/>
    <x:s v="No"/>
    <x:m/>
    <x:s v=""/>
    <x:n v="9"/>
    <x:n v="5"/>
    <x:n v="93"/>
    <x:s v="No"/>
    <x:n v="0"/>
  </x:r>
  <x:r>
    <x:s v="CUST-0161"/>
    <x:x v="2"/>
    <x:x v="1"/>
    <x:s v="Education"/>
    <x:s v="1-10"/>
    <x:n v="4"/>
    <x:n v="245.27"/>
    <x:s v="Partner"/>
    <x:s v="Europe"/>
    <x:d v="2024-12-11T00:00:00"/>
    <x:s v="Yes"/>
    <x:d v="2025-04-19T00:00:00"/>
    <x:s v="Price Too High"/>
    <x:n v="0"/>
    <x:n v="6"/>
    <x:n v="28"/>
    <x:s v="No"/>
    <x:n v="1"/>
  </x:r>
  <x:r>
    <x:s v="CUST-0162"/>
    <x:x v="1"/>
    <x:x v="0"/>
    <x:s v="Finance"/>
    <x:s v="500+"/>
    <x:n v="150"/>
    <x:n v="677.15"/>
    <x:s v="Paid Ads"/>
    <x:s v="Europe"/>
    <x:d v="2022-08-09T00:00:00"/>
    <x:s v="Yes"/>
    <x:d v="2023-11-26T00:00:00"/>
    <x:s v="Budget Cuts"/>
    <x:n v="0"/>
    <x:n v="3"/>
    <x:n v="44"/>
    <x:s v="No"/>
    <x:n v="1"/>
  </x:r>
  <x:r>
    <x:s v="CUST-0163"/>
    <x:x v="1"/>
    <x:x v="1"/>
    <x:s v="Manufacturing"/>
    <x:s v="1-10"/>
    <x:n v="2"/>
    <x:n v="28.35"/>
    <x:s v="Paid Ads"/>
    <x:s v="Asia Pacific"/>
    <x:d v="2025-01-28T00:00:00"/>
    <x:s v="No"/>
    <x:m/>
    <x:s v=""/>
    <x:n v="3"/>
    <x:n v="8"/>
    <x:n v="20"/>
    <x:s v="No"/>
    <x:n v="0"/>
  </x:r>
  <x:r>
    <x:s v="CUST-0164"/>
    <x:x v="1"/>
    <x:x v="1"/>
    <x:s v="Healthcare"/>
    <x:s v="500+"/>
    <x:n v="220"/>
    <x:n v="834.4"/>
    <x:s v="Organic Search"/>
    <x:s v="Europe"/>
    <x:d v="2023-08-19T00:00:00"/>
    <x:s v="Yes"/>
    <x:d v="2025-06-11T00:00:00"/>
    <x:s v="Switched Competitor"/>
    <x:n v="4"/>
    <x:n v="3"/>
    <x:n v="12"/>
    <x:s v="No"/>
    <x:n v="1"/>
  </x:r>
  <x:r>
    <x:s v="CUST-0165"/>
    <x:x v="1"/>
    <x:x v="1"/>
    <x:s v="Real Estate"/>
    <x:s v="201-500"/>
    <x:n v="34"/>
    <x:n v="146.67"/>
    <x:s v="Organic Search"/>
    <x:s v="Asia Pacific"/>
    <x:d v="2024-07-15T00:00:00"/>
    <x:s v="No"/>
    <x:m/>
    <x:s v=""/>
    <x:n v="12"/>
    <x:n v="5"/>
    <x:n v="60"/>
    <x:s v="No"/>
    <x:n v="0"/>
  </x:r>
  <x:r>
    <x:s v="CUST-0166"/>
    <x:x v="1"/>
    <x:x v="0"/>
    <x:s v="Healthcare"/>
    <x:s v="1-10"/>
    <x:n v="1"/>
    <x:n v="29"/>
    <x:s v="Social Media"/>
    <x:s v="Europe"/>
    <x:d v="2023-09-18T00:00:00"/>
    <x:s v="Yes"/>
    <x:d v="2025-01-25T00:00:00"/>
    <x:s v="No Longer Needed"/>
    <x:n v="7"/>
    <x:n v="5"/>
    <x:n v="20"/>
    <x:s v="No"/>
    <x:n v="1"/>
  </x:r>
  <x:r>
    <x:s v="CUST-0167"/>
    <x:x v="1"/>
    <x:x v="1"/>
    <x:s v="Legal"/>
    <x:s v="51-200"/>
    <x:n v="40"/>
    <x:n v="168.85"/>
    <x:s v="Organic Search"/>
    <x:s v="North America"/>
    <x:d v="2024-12-24T00:00:00"/>
    <x:s v="No"/>
    <x:m/>
    <x:s v=""/>
    <x:n v="10"/>
    <x:n v="6"/>
    <x:n v="35"/>
    <x:s v="No"/>
    <x:n v="0"/>
  </x:r>
  <x:r>
    <x:s v="CUST-0168"/>
    <x:x v="2"/>
    <x:x v="0"/>
    <x:s v="Legal"/>
    <x:s v="11-50"/>
    <x:n v="29"/>
    <x:n v="1034.8"/>
    <x:s v="Partner"/>
    <x:s v="Europe"/>
    <x:d v="2023-04-05T00:00:00"/>
    <x:s v="Yes"/>
    <x:d v="2023-04-29T00:00:00"/>
    <x:s v="No Longer Needed"/>
    <x:n v="12"/>
    <x:n v="6"/>
    <x:n v="45"/>
    <x:s v="No"/>
    <x:n v="1"/>
  </x:r>
  <x:r>
    <x:s v="CUST-0169"/>
    <x:x v="2"/>
    <x:x v="1"/>
    <x:s v="Consulting"/>
    <x:s v="11-50"/>
    <x:n v="5"/>
    <x:n v="270.64"/>
    <x:s v="Paid Ads"/>
    <x:s v="North America"/>
    <x:d v="2023-12-06T00:00:00"/>
    <x:s v="No"/>
    <x:m/>
    <x:s v=""/>
    <x:n v="0"/>
    <x:n v="1"/>
    <x:n v="55"/>
    <x:s v="Yes"/>
    <x:n v="0"/>
  </x:r>
  <x:r>
    <x:s v="CUST-0170"/>
    <x:x v="2"/>
    <x:x v="0"/>
    <x:s v="Media"/>
    <x:s v="11-50"/>
    <x:n v="32"/>
    <x:n v="1124.35"/>
    <x:s v="Social Media"/>
    <x:s v="Asia Pacific"/>
    <x:d v="2024-10-17T00:00:00"/>
    <x:s v="No"/>
    <x:m/>
    <x:s v=""/>
    <x:n v="1"/>
    <x:n v="1"/>
    <x:n v="91"/>
    <x:s v="No"/>
    <x:n v="0"/>
  </x:r>
  <x:r>
    <x:s v="CUST-0171"/>
    <x:x v="1"/>
    <x:x v="0"/>
    <x:s v="Finance"/>
    <x:s v="1-10"/>
    <x:n v="7"/>
    <x:n v="55.1"/>
    <x:s v="Organic Search"/>
    <x:s v="Europe"/>
    <x:d v="2022-09-18T00:00:00"/>
    <x:s v="Yes"/>
    <x:d v="2023-07-31T00:00:00"/>
    <x:s v="Budget Cuts"/>
    <x:n v="3"/>
    <x:n v="2"/>
    <x:n v="24"/>
    <x:s v="No"/>
    <x:n v="1"/>
  </x:r>
  <x:r>
    <x:s v="CUST-0172"/>
    <x:x v="2"/>
    <x:x v="0"/>
    <x:s v="Healthcare"/>
    <x:s v="1-10"/>
    <x:n v="5"/>
    <x:n v="318.4"/>
    <x:s v="Referral"/>
    <x:s v="North America"/>
    <x:d v="2022-07-10T00:00:00"/>
    <x:s v="Yes"/>
    <x:d v="2024-05-08T00:00:00"/>
    <x:s v="No Longer Needed"/>
    <x:n v="14"/>
    <x:n v="3"/>
    <x:n v="38"/>
    <x:s v="No"/>
    <x:n v="1"/>
  </x:r>
  <x:r>
    <x:s v="CUST-0173"/>
    <x:x v="0"/>
    <x:x v="1"/>
    <x:s v="Media"/>
    <x:s v="1-10"/>
    <x:n v="6"/>
    <x:n v="117.51"/>
    <x:s v="Social Media"/>
    <x:s v="Asia Pacific"/>
    <x:d v="2024-09-14T00:00:00"/>
    <x:s v="No"/>
    <x:m/>
    <x:s v=""/>
    <x:n v="12"/>
    <x:n v="9"/>
    <x:n v="38"/>
    <x:s v="No"/>
    <x:n v="0"/>
  </x:r>
  <x:r>
    <x:s v="CUST-0174"/>
    <x:x v="3"/>
    <x:x v="1"/>
    <x:s v="Education"/>
    <x:s v="201-500"/>
    <x:n v="65"/>
    <x:n v="4495.99"/>
    <x:s v="Paid Ads"/>
    <x:s v="North America"/>
    <x:d v="2024-11-30T00:00:00"/>
    <x:s v="No"/>
    <x:m/>
    <x:s v=""/>
    <x:n v="10"/>
    <x:n v="2"/>
    <x:n v="91"/>
    <x:s v="No"/>
    <x:n v="0"/>
  </x:r>
  <x:r>
    <x:s v="CUST-0175"/>
    <x:x v="2"/>
    <x:x v="1"/>
    <x:s v="Consulting"/>
    <x:s v="51-200"/>
    <x:n v="50"/>
    <x:n v="1412.4"/>
    <x:s v="Direct Sales"/>
    <x:s v="North America"/>
    <x:d v="2022-10-11T00:00:00"/>
    <x:s v="No"/>
    <x:m/>
    <x:s v=""/>
    <x:n v="12"/>
    <x:n v="8"/>
    <x:n v="26"/>
    <x:s v="No"/>
    <x:n v="0"/>
  </x:r>
  <x:r>
    <x:s v="CUST-0176"/>
    <x:x v="1"/>
    <x:x v="0"/>
    <x:s v="Media"/>
    <x:s v="500+"/>
    <x:n v="205"/>
    <x:n v="916.4"/>
    <x:s v="Social Media"/>
    <x:s v="North America"/>
    <x:d v="2023-08-06T00:00:00"/>
    <x:s v="Yes"/>
    <x:d v="2023-09-11T00:00:00"/>
    <x:s v="Budget Cuts"/>
    <x:n v="7"/>
    <x:n v="3"/>
    <x:n v="19"/>
    <x:s v="No"/>
    <x:n v="1"/>
  </x:r>
  <x:r>
    <x:s v="CUST-0177"/>
    <x:x v="0"/>
    <x:x v="0"/>
    <x:s v="Technology"/>
    <x:s v="500+"/>
    <x:n v="239"/>
    <x:n v="2899.3"/>
    <x:s v="Partner"/>
    <x:s v="Asia Pacific"/>
    <x:d v="2024-12-06T00:00:00"/>
    <x:s v="Yes"/>
    <x:d v="2025-11-09T00:00:00"/>
    <x:s v="Poor Support"/>
    <x:n v="4"/>
    <x:n v="6"/>
    <x:n v="14"/>
    <x:s v="No"/>
    <x:n v="1"/>
  </x:r>
  <x:r>
    <x:s v="CUST-0178"/>
    <x:x v="0"/>
    <x:x v="1"/>
    <x:s v="Manufacturing"/>
    <x:s v="11-50"/>
    <x:n v="31"/>
    <x:n v="369.33"/>
    <x:s v="Direct Sales"/>
    <x:s v="Asia Pacific"/>
    <x:d v="2024-09-11T00:00:00"/>
    <x:s v="No"/>
    <x:m/>
    <x:s v=""/>
    <x:n v="4"/>
    <x:n v="6"/>
    <x:n v="81"/>
    <x:s v="No"/>
    <x:n v="0"/>
  </x:r>
  <x:r>
    <x:s v="CUST-0179"/>
    <x:x v="1"/>
    <x:x v="0"/>
    <x:s v="Consulting"/>
    <x:s v="51-200"/>
    <x:n v="67"/>
    <x:n v="316.1"/>
    <x:s v="Referral"/>
    <x:s v="Europe"/>
    <x:d v="2024-06-25T00:00:00"/>
    <x:s v="No"/>
    <x:m/>
    <x:s v=""/>
    <x:n v="3"/>
    <x:n v="10"/>
    <x:n v="26"/>
    <x:s v="No"/>
    <x:n v="0"/>
  </x:r>
  <x:r>
    <x:s v="CUST-0180"/>
    <x:x v="0"/>
    <x:x v="1"/>
    <x:s v="Real Estate"/>
    <x:s v="51-200"/>
    <x:n v="29"/>
    <x:n v="349.18"/>
    <x:s v="Referral"/>
    <x:s v="North America"/>
    <x:d v="2022-10-12T00:00:00"/>
    <x:s v="Yes"/>
    <x:d v="2025-03-25T00:00:00"/>
    <x:s v="Budget Cuts"/>
    <x:n v="2"/>
    <x:n v="5"/>
    <x:n v="42"/>
    <x:s v="No"/>
    <x:n v="1"/>
  </x:r>
  <x:r>
    <x:s v="CUST-0181"/>
    <x:x v="0"/>
    <x:x v="0"/>
    <x:s v="Education"/>
    <x:s v="1-10"/>
    <x:n v="4"/>
    <x:n v="114.55"/>
    <x:s v="Paid Ads"/>
    <x:s v="North America"/>
    <x:d v="2024-02-08T00:00:00"/>
    <x:s v="Yes"/>
    <x:d v="2024-04-23T00:00:00"/>
    <x:s v="Price Too High"/>
    <x:n v="9"/>
    <x:n v="4"/>
    <x:n v="44"/>
    <x:s v="No"/>
    <x:n v="1"/>
  </x:r>
  <x:r>
    <x:s v="CUST-0182"/>
    <x:x v="0"/>
    <x:x v="1"/>
    <x:s v="Real Estate"/>
    <x:s v="51-200"/>
    <x:n v="76"/>
    <x:n v="822.59"/>
    <x:s v="Partner"/>
    <x:s v="Europe"/>
    <x:d v="2024-05-02T00:00:00"/>
    <x:s v="No"/>
    <x:m/>
    <x:s v=""/>
    <x:n v="9"/>
    <x:n v="6"/>
    <x:n v="37"/>
    <x:s v="No"/>
    <x:n v="0"/>
  </x:r>
  <x:r>
    <x:s v="CUST-0183"/>
    <x:x v="1"/>
    <x:x v="1"/>
    <x:s v="Education"/>
    <x:s v="201-500"/>
    <x:n v="83"/>
    <x:n v="327.84"/>
    <x:s v="Partner"/>
    <x:s v="North America"/>
    <x:d v="2023-10-01T00:00:00"/>
    <x:s v="Yes"/>
    <x:d v="2025-01-06T00:00:00"/>
    <x:s v="Budget Cuts"/>
    <x:n v="8"/>
    <x:n v="4"/>
    <x:n v="26"/>
    <x:s v="No"/>
    <x:n v="1"/>
  </x:r>
  <x:r>
    <x:s v="CUST-0184"/>
    <x:x v="1"/>
    <x:x v="0"/>
    <x:s v="Manufacturing"/>
    <x:s v="1-10"/>
    <x:n v="7"/>
    <x:n v="55.1"/>
    <x:s v="Partner"/>
    <x:s v="Europe"/>
    <x:d v="2024-11-20T00:00:00"/>
    <x:s v="No"/>
    <x:m/>
    <x:s v=""/>
    <x:n v="8"/>
    <x:n v="2"/>
    <x:n v="63"/>
    <x:s v="No"/>
    <x:n v="0"/>
  </x:r>
  <x:r>
    <x:s v="CUST-0185"/>
    <x:x v="0"/>
    <x:x v="1"/>
    <x:s v="Media"/>
    <x:s v="201-500"/>
    <x:n v="96"/>
    <x:n v="1024.04"/>
    <x:s v="Referral"/>
    <x:s v="North America"/>
    <x:d v="2025-11-17T00:00:00"/>
    <x:s v="No"/>
    <x:m/>
    <x:s v=""/>
    <x:n v="3"/>
    <x:n v="8"/>
    <x:n v="48"/>
    <x:s v="No"/>
    <x:n v="0"/>
  </x:r>
  <x:r>
    <x:s v="CUST-0186"/>
    <x:x v="2"/>
    <x:x v="0"/>
    <x:s v="Finance"/>
    <x:s v="1-10"/>
    <x:n v="6"/>
    <x:n v="348.25"/>
    <x:s v="Partner"/>
    <x:s v="Asia Pacific"/>
    <x:d v="2025-06-25T00:00:00"/>
    <x:s v="Yes"/>
    <x:d v="2025-11-28T00:00:00"/>
    <x:s v="Budget Cuts"/>
    <x:n v="3"/>
    <x:n v="2"/>
    <x:n v="17"/>
    <x:s v="No"/>
    <x:n v="1"/>
  </x:r>
  <x:r>
    <x:s v="CUST-0187"/>
    <x:x v="0"/>
    <x:x v="0"/>
    <x:s v="Education"/>
    <x:s v="1-10"/>
    <x:n v="4"/>
    <x:n v="114.55"/>
    <x:s v="Paid Ads"/>
    <x:s v="Asia Pacific"/>
    <x:d v="2024-09-10T00:00:00"/>
    <x:s v="Yes"/>
    <x:d v="2024-11-30T00:00:00"/>
    <x:s v="Price Too High"/>
    <x:n v="9"/>
    <x:n v="3"/>
    <x:n v="24"/>
    <x:s v="No"/>
    <x:n v="1"/>
  </x:r>
  <x:r>
    <x:s v="CUST-0188"/>
    <x:x v="2"/>
    <x:x v="0"/>
    <x:s v="Healthcare"/>
    <x:s v="11-50"/>
    <x:n v="28"/>
    <x:n v="1004.95"/>
    <x:s v="Referral"/>
    <x:s v="Asia Pacific"/>
    <x:d v="2022-08-11T00:00:00"/>
    <x:s v="Yes"/>
    <x:d v="2024-12-24T00:00:00"/>
    <x:s v="Switched Competitor"/>
    <x:n v="13"/>
    <x:n v="4"/>
    <x:n v="15"/>
    <x:s v="No"/>
    <x:n v="1"/>
  </x:r>
  <x:r>
    <x:s v="CUST-0189"/>
    <x:x v="1"/>
    <x:x v="0"/>
    <x:s v="Consulting"/>
    <x:s v="201-500"/>
    <x:n v="141"/>
    <x:n v="638"/>
    <x:s v="Direct Sales"/>
    <x:s v="North America"/>
    <x:d v="2025-09-11T00:00:00"/>
    <x:s v="No"/>
    <x:m/>
    <x:s v=""/>
    <x:n v="11"/>
    <x:n v="4"/>
    <x:n v="88"/>
    <x:s v="No"/>
    <x:n v="0"/>
  </x:r>
  <x:r>
    <x:s v="CUST-0190"/>
    <x:x v="0"/>
    <x:x v="0"/>
    <x:s v="Consulting"/>
    <x:s v="51-200"/>
    <x:n v="70"/>
    <x:n v="896.65"/>
    <x:s v="Social Media"/>
    <x:s v="North America"/>
    <x:d v="2023-07-10T00:00:00"/>
    <x:s v="No"/>
    <x:m/>
    <x:s v=""/>
    <x:n v="7"/>
    <x:n v="10"/>
    <x:n v="63"/>
    <x:s v="No"/>
    <x:n v="0"/>
  </x:r>
  <x:r>
    <x:s v="CUST-0191"/>
    <x:x v="1"/>
    <x:x v="0"/>
    <x:s v="Media"/>
    <x:s v="11-50"/>
    <x:n v="30"/>
    <x:n v="155.15"/>
    <x:s v="Partner"/>
    <x:s v="North America"/>
    <x:d v="2022-12-21T00:00:00"/>
    <x:s v="Yes"/>
    <x:d v="2023-01-25T00:00:00"/>
    <x:s v="No Longer Needed"/>
    <x:n v="15"/>
    <x:n v="2"/>
    <x:n v="23"/>
    <x:s v="No"/>
    <x:n v="1"/>
  </x:r>
  <x:r>
    <x:s v="CUST-0192"/>
    <x:x v="2"/>
    <x:x v="0"/>
    <x:s v="Real Estate"/>
    <x:s v="51-200"/>
    <x:n v="74"/>
    <x:n v="2378.05"/>
    <x:s v="Social Media"/>
    <x:s v="North America"/>
    <x:d v="2022-03-16T00:00:00"/>
    <x:s v="No"/>
    <x:m/>
    <x:s v=""/>
    <x:n v="8"/>
    <x:n v="10"/>
    <x:n v="46"/>
    <x:s v="Yes"/>
    <x:n v="0"/>
  </x:r>
  <x:r>
    <x:s v="CUST-0193"/>
    <x:x v="3"/>
    <x:x v="0"/>
    <x:s v="Retail"/>
    <x:s v="11-50"/>
    <x:n v="33"/>
    <x:n v="2894.2"/>
    <x:s v="Social Media"/>
    <x:s v="North America"/>
    <x:d v="2024-09-18T00:00:00"/>
    <x:s v="No"/>
    <x:m/>
    <x:s v=""/>
    <x:n v="0"/>
    <x:n v="1"/>
    <x:n v="43"/>
    <x:s v="Yes"/>
    <x:n v="0"/>
  </x:r>
  <x:r>
    <x:s v="CUST-0194"/>
    <x:x v="1"/>
    <x:x v="1"/>
    <x:s v="Finance"/>
    <x:s v="500+"/>
    <x:n v="225"/>
    <x:n v="852.89"/>
    <x:s v="Referral"/>
    <x:s v="Europe"/>
    <x:d v="2023-02-27T00:00:00"/>
    <x:s v="No"/>
    <x:m/>
    <x:s v=""/>
    <x:n v="6"/>
    <x:n v="9"/>
    <x:n v="50"/>
    <x:s v="Yes"/>
    <x:n v="0"/>
  </x:r>
  <x:r>
    <x:s v="CUST-0195"/>
    <x:x v="1"/>
    <x:x v="1"/>
    <x:s v="Education"/>
    <x:s v="1-10"/>
    <x:n v="3"/>
    <x:n v="32.05"/>
    <x:s v="Paid Ads"/>
    <x:s v="North America"/>
    <x:d v="2023-10-21T00:00:00"/>
    <x:s v="Yes"/>
    <x:d v="2024-07-19T00:00:00"/>
    <x:s v="Budget Cuts"/>
    <x:n v="4"/>
    <x:n v="5"/>
    <x:n v="33"/>
    <x:s v="No"/>
    <x:n v="1"/>
  </x:r>
  <x:r>
    <x:s v="CUST-0196"/>
    <x:x v="0"/>
    <x:x v="1"/>
    <x:s v="Media"/>
    <x:s v="11-50"/>
    <x:n v="20"/>
    <x:n v="258.53"/>
    <x:s v="Paid Ads"/>
    <x:s v="Europe"/>
    <x:d v="2025-03-06T00:00:00"/>
    <x:s v="No"/>
    <x:m/>
    <x:s v=""/>
    <x:n v="6"/>
    <x:n v="7"/>
    <x:n v="95"/>
    <x:s v="No"/>
    <x:n v="0"/>
  </x:r>
  <x:r>
    <x:s v="CUST-0197"/>
    <x:x v="3"/>
    <x:x v="0"/>
    <x:s v="Consulting"/>
    <x:s v="1-10"/>
    <x:n v="1"/>
    <x:n v="499"/>
    <x:s v="Organic Search"/>
    <x:s v="Asia Pacific"/>
    <x:d v="2022-03-25T00:00:00"/>
    <x:s v="No"/>
    <x:m/>
    <x:s v=""/>
    <x:n v="8"/>
    <x:n v="7"/>
    <x:n v="32"/>
    <x:s v="No"/>
    <x:n v="0"/>
  </x:r>
  <x:r>
    <x:s v="CUST-0198"/>
    <x:x v="1"/>
    <x:x v="0"/>
    <x:s v="Healthcare"/>
    <x:s v="51-200"/>
    <x:n v="21"/>
    <x:n v="116"/>
    <x:s v="Referral"/>
    <x:s v="Europe"/>
    <x:d v="2023-04-19T00:00:00"/>
    <x:s v="Yes"/>
    <x:d v="2025-01-15T00:00:00"/>
    <x:s v="Missing Features"/>
    <x:n v="0"/>
    <x:n v="1"/>
    <x:n v="15"/>
    <x:s v="No"/>
    <x:n v="1"/>
  </x:r>
  <x:r>
    <x:s v="CUST-0199"/>
    <x:x v="0"/>
    <x:x v="1"/>
    <x:s v="Legal"/>
    <x:s v="1-10"/>
    <x:n v="4"/>
    <x:n v="97.37"/>
    <x:s v="Paid Ads"/>
    <x:s v="North America"/>
    <x:d v="2025-03-03T00:00:00"/>
    <x:s v="No"/>
    <x:m/>
    <x:s v=""/>
    <x:n v="2"/>
    <x:n v="4"/>
    <x:n v="36"/>
    <x:s v="No"/>
    <x:n v="0"/>
  </x:r>
  <x:r>
    <x:s v="CUST-0200"/>
    <x:x v="0"/>
    <x:x v="1"/>
    <x:s v="Education"/>
    <x:s v="201-500"/>
    <x:n v="35"/>
    <x:n v="409.62"/>
    <x:s v="Organic Search"/>
    <x:s v="North America"/>
    <x:d v="2022-10-24T00:00:00"/>
    <x:s v="Yes"/>
    <x:d v="2024-11-02T00:00:00"/>
    <x:s v="Missing Features"/>
    <x:n v="15"/>
    <x:n v="1"/>
    <x:n v="21"/>
    <x:s v="No"/>
    <x:n v="1"/>
  </x:r>
  <x:r>
    <x:s v="CUST-0201"/>
    <x:x v="1"/>
    <x:x v="0"/>
    <x:s v="Media"/>
    <x:s v="11-50"/>
    <x:n v="13"/>
    <x:n v="81.2"/>
    <x:s v="Partner"/>
    <x:s v="Europe"/>
    <x:d v="2023-06-28T00:00:00"/>
    <x:s v="Yes"/>
    <x:d v="2024-10-13T00:00:00"/>
    <x:s v="Budget Cuts"/>
    <x:n v="15"/>
    <x:n v="1"/>
    <x:n v="44"/>
    <x:s v="No"/>
    <x:n v="1"/>
  </x:r>
  <x:r>
    <x:s v="CUST-0202"/>
    <x:x v="1"/>
    <x:x v="0"/>
    <x:s v="Legal"/>
    <x:s v="11-50"/>
    <x:n v="30"/>
    <x:n v="155.15"/>
    <x:s v="Partner"/>
    <x:s v="Latin America"/>
    <x:d v="2023-10-06T00:00:00"/>
    <x:s v="Yes"/>
    <x:d v="2023-11-04T00:00:00"/>
    <x:s v="Price Too High"/>
    <x:n v="3"/>
    <x:n v="1"/>
    <x:n v="25"/>
    <x:s v="No"/>
    <x:n v="1"/>
  </x:r>
  <x:r>
    <x:s v="CUST-0203"/>
    <x:x v="2"/>
    <x:x v="0"/>
    <x:s v="Consulting"/>
    <x:s v="1-10"/>
    <x:n v="8"/>
    <x:n v="407.95"/>
    <x:s v="Direct Sales"/>
    <x:s v="Latin America"/>
    <x:d v="2023-07-30T00:00:00"/>
    <x:s v="Yes"/>
    <x:d v="2025-04-06T00:00:00"/>
    <x:s v="Budget Cuts"/>
    <x:n v="1"/>
    <x:n v="5"/>
    <x:n v="12"/>
    <x:s v="No"/>
    <x:n v="1"/>
  </x:r>
  <x:r>
    <x:s v="CUST-0204"/>
    <x:x v="1"/>
    <x:x v="0"/>
    <x:s v="Education"/>
    <x:s v="51-200"/>
    <x:n v="64"/>
    <x:n v="303.05"/>
    <x:s v="Partner"/>
    <x:s v="North America"/>
    <x:d v="2024-05-19T00:00:00"/>
    <x:s v="Yes"/>
    <x:d v="2024-07-20T00:00:00"/>
    <x:s v="Poor Support"/>
    <x:n v="11"/>
    <x:n v="1"/>
    <x:n v="49"/>
    <x:s v="No"/>
    <x:n v="1"/>
  </x:r>
  <x:r>
    <x:s v="CUST-0205"/>
    <x:x v="2"/>
    <x:x v="1"/>
    <x:s v="Healthcare"/>
    <x:s v="51-200"/>
    <x:n v="67"/>
    <x:n v="1843.73"/>
    <x:s v="Organic Search"/>
    <x:s v="Europe"/>
    <x:d v="2023-12-17T00:00:00"/>
    <x:s v="No"/>
    <x:m/>
    <x:s v=""/>
    <x:n v="12"/>
    <x:n v="1"/>
    <x:n v="85"/>
    <x:s v="Yes"/>
    <x:n v="0"/>
  </x:r>
  <x:r>
    <x:s v="CUST-0206"/>
    <x:x v="1"/>
    <x:x v="0"/>
    <x:s v="Healthcare"/>
    <x:s v="201-500"/>
    <x:n v="72"/>
    <x:n v="337.85"/>
    <x:s v="Organic Search"/>
    <x:s v="Europe"/>
    <x:d v="2024-03-23T00:00:00"/>
    <x:s v="Yes"/>
    <x:d v="2024-07-02T00:00:00"/>
    <x:s v="Switched Competitor"/>
    <x:n v="5"/>
    <x:n v="6"/>
    <x:n v="33"/>
    <x:s v="No"/>
    <x:n v="1"/>
  </x:r>
  <x:r>
    <x:s v="CUST-0207"/>
    <x:x v="2"/>
    <x:x v="0"/>
    <x:s v="Real Estate"/>
    <x:s v="1-10"/>
    <x:n v="1"/>
    <x:n v="199"/>
    <x:s v="Partner"/>
    <x:s v="North America"/>
    <x:d v="2023-04-02T00:00:00"/>
    <x:s v="Yes"/>
    <x:d v="2023-12-15T00:00:00"/>
    <x:s v="No Longer Needed"/>
    <x:n v="12"/>
    <x:n v="2"/>
    <x:n v="16"/>
    <x:s v="No"/>
    <x:n v="1"/>
  </x:r>
  <x:r>
    <x:s v="CUST-0208"/>
    <x:x v="1"/>
    <x:x v="0"/>
    <x:s v="Consulting"/>
    <x:s v="11-50"/>
    <x:n v="5"/>
    <x:n v="46.4"/>
    <x:s v="Referral"/>
    <x:s v="North America"/>
    <x:d v="2025-01-19T00:00:00"/>
    <x:s v="Yes"/>
    <x:d v="2025-07-03T00:00:00"/>
    <x:s v="Missing Features"/>
    <x:n v="8"/>
    <x:n v="4"/>
    <x:n v="21"/>
    <x:s v="No"/>
    <x:n v="1"/>
  </x:r>
  <x:r>
    <x:s v="CUST-0209"/>
    <x:x v="1"/>
    <x:x v="1"/>
    <x:s v="Healthcare"/>
    <x:s v="51-200"/>
    <x:n v="46"/>
    <x:n v="191.04"/>
    <x:s v="Social Media"/>
    <x:s v="Europe"/>
    <x:d v="2022-05-05T00:00:00"/>
    <x:s v="Yes"/>
    <x:d v="2022-07-30T00:00:00"/>
    <x:s v="Company Closed"/>
    <x:n v="2"/>
    <x:n v="1"/>
    <x:n v="13"/>
    <x:s v="No"/>
    <x:n v="1"/>
  </x:r>
  <x:r>
    <x:s v="CUST-0210"/>
    <x:x v="3"/>
    <x:x v="0"/>
    <x:s v="Healthcare"/>
    <x:s v="51-200"/>
    <x:n v="72"/>
    <x:n v="5813.35"/>
    <x:s v="Social Media"/>
    <x:s v="North America"/>
    <x:d v="2022-09-22T00:00:00"/>
    <x:s v="Yes"/>
    <x:d v="2025-05-26T00:00:00"/>
    <x:s v="Price Too High"/>
    <x:n v="13"/>
    <x:n v="1"/>
    <x:n v="17"/>
    <x:s v="No"/>
    <x:n v="1"/>
  </x:r>
  <x:r>
    <x:s v="CUST-0211"/>
    <x:x v="3"/>
    <x:x v="1"/>
    <x:s v="Education"/>
    <x:s v="201-500"/>
    <x:n v="48"/>
    <x:n v="3414.41"/>
    <x:s v="Paid Ads"/>
    <x:s v="North America"/>
    <x:d v="2025-06-30T00:00:00"/>
    <x:s v="No"/>
    <x:m/>
    <x:s v=""/>
    <x:n v="12"/>
    <x:n v="2"/>
    <x:n v="23"/>
    <x:s v="No"/>
    <x:n v="0"/>
  </x:r>
  <x:r>
    <x:s v="CUST-0212"/>
    <x:x v="2"/>
    <x:x v="1"/>
    <x:s v="Retail"/>
    <x:s v="1-10"/>
    <x:n v="1"/>
    <x:n v="169.15"/>
    <x:s v="Partner"/>
    <x:s v="North America"/>
    <x:d v="2024-01-08T00:00:00"/>
    <x:s v="No"/>
    <x:m/>
    <x:s v=""/>
    <x:n v="1"/>
    <x:n v="6"/>
    <x:n v="60"/>
    <x:s v="No"/>
    <x:n v="0"/>
  </x:r>
  <x:r>
    <x:s v="CUST-0213"/>
    <x:x v="2"/>
    <x:x v="1"/>
    <x:s v="Manufacturing"/>
    <x:s v="500+"/>
    <x:n v="209"/>
    <x:n v="5446.63"/>
    <x:s v="Partner"/>
    <x:s v="North America"/>
    <x:d v="2023-05-20T00:00:00"/>
    <x:s v="No"/>
    <x:m/>
    <x:s v=""/>
    <x:n v="4"/>
    <x:n v="2"/>
    <x:n v="31"/>
    <x:s v="No"/>
    <x:n v="0"/>
  </x:r>
  <x:r>
    <x:s v="CUST-0214"/>
    <x:x v="1"/>
    <x:x v="0"/>
    <x:s v="Legal"/>
    <x:s v="11-50"/>
    <x:n v="17"/>
    <x:n v="98.6"/>
    <x:s v="Referral"/>
    <x:s v="North America"/>
    <x:d v="2024-09-23T00:00:00"/>
    <x:s v="Yes"/>
    <x:d v="2025-08-11T00:00:00"/>
    <x:s v="No Longer Needed"/>
    <x:n v="4"/>
    <x:n v="4"/>
    <x:n v="10"/>
    <x:s v="No"/>
    <x:n v="1"/>
  </x:r>
  <x:r>
    <x:s v="CUST-0215"/>
    <x:x v="1"/>
    <x:x v="0"/>
    <x:s v="Consulting"/>
    <x:s v="11-50"/>
    <x:n v="21"/>
    <x:n v="116"/>
    <x:s v="Direct Sales"/>
    <x:s v="Asia Pacific"/>
    <x:d v="2025-01-09T00:00:00"/>
    <x:s v="Yes"/>
    <x:d v="2025-06-29T00:00:00"/>
    <x:s v="Switched Competitor"/>
    <x:n v="15"/>
    <x:n v="5"/>
    <x:n v="27"/>
    <x:s v="No"/>
    <x:n v="1"/>
  </x:r>
  <x:r>
    <x:s v="CUST-0216"/>
    <x:x v="1"/>
    <x:x v="0"/>
    <x:s v="Finance"/>
    <x:s v="11-50"/>
    <x:n v="15"/>
    <x:n v="89.9"/>
    <x:s v="Organic Search"/>
    <x:s v="North America"/>
    <x:d v="2024-07-20T00:00:00"/>
    <x:s v="Yes"/>
    <x:d v="2024-09-16T00:00:00"/>
    <x:s v="Poor Support"/>
    <x:n v="11"/>
    <x:n v="4"/>
    <x:n v="20"/>
    <x:s v="No"/>
    <x:n v="1"/>
  </x:r>
  <x:r>
    <x:s v="CUST-0217"/>
    <x:x v="0"/>
    <x:x v="0"/>
    <x:s v="Healthcare"/>
    <x:s v="51-200"/>
    <x:n v="46"/>
    <x:n v="612.25"/>
    <x:s v="Partner"/>
    <x:s v="North America"/>
    <x:d v="2024-04-05T00:00:00"/>
    <x:s v="No"/>
    <x:m/>
    <x:s v=""/>
    <x:n v="3"/>
    <x:n v="7"/>
    <x:n v="39"/>
    <x:s v="No"/>
    <x:n v="0"/>
  </x:r>
  <x:r>
    <x:s v="CUST-0218"/>
    <x:x v="1"/>
    <x:x v="0"/>
    <x:s v="Finance"/>
    <x:s v="51-200"/>
    <x:n v="22"/>
    <x:n v="120.35"/>
    <x:s v="Direct Sales"/>
    <x:s v="North America"/>
    <x:d v="2022-10-15T00:00:00"/>
    <x:s v="Yes"/>
    <x:d v="2024-01-25T00:00:00"/>
    <x:s v="Company Closed"/>
    <x:n v="3"/>
    <x:n v="3"/>
    <x:n v="27"/>
    <x:s v="No"/>
    <x:n v="1"/>
  </x:r>
  <x:r>
    <x:s v="CUST-0219"/>
    <x:x v="1"/>
    <x:x v="1"/>
    <x:s v="Manufacturing"/>
    <x:s v="1-10"/>
    <x:n v="8"/>
    <x:n v="50.53"/>
    <x:s v="Organic Search"/>
    <x:s v="North America"/>
    <x:d v="2023-08-22T00:00:00"/>
    <x:s v="No"/>
    <x:m/>
    <x:s v=""/>
    <x:n v="6"/>
    <x:n v="8"/>
    <x:n v="32"/>
    <x:s v="No"/>
    <x:n v="0"/>
  </x:r>
  <x:r>
    <x:s v="CUST-0220"/>
    <x:x v="0"/>
    <x:x v="0"/>
    <x:s v="Education"/>
    <x:s v="1-10"/>
    <x:n v="1"/>
    <x:n v="79"/>
    <x:s v="Social Media"/>
    <x:s v="North America"/>
    <x:d v="2023-09-26T00:00:00"/>
    <x:s v="Yes"/>
    <x:d v="2025-05-11T00:00:00"/>
    <x:s v="Price Too High"/>
    <x:n v="9"/>
    <x:n v="5"/>
    <x:n v="44"/>
    <x:s v="No"/>
    <x:n v="1"/>
  </x:r>
  <x:r>
    <x:s v="CUST-0221"/>
    <x:x v="2"/>
    <x:x v="1"/>
    <x:s v="Real Estate"/>
    <x:s v="1-10"/>
    <x:n v="3"/>
    <x:n v="219.9"/>
    <x:s v="Organic Search"/>
    <x:s v="North America"/>
    <x:d v="2025-06-28T00:00:00"/>
    <x:s v="No"/>
    <x:m/>
    <x:s v=""/>
    <x:n v="7"/>
    <x:n v="8"/>
    <x:n v="43"/>
    <x:s v="No"/>
    <x:n v="0"/>
  </x:r>
  <x:r>
    <x:s v="CUST-0222"/>
    <x:x v="0"/>
    <x:x v="0"/>
    <x:s v="Media"/>
    <x:s v="51-200"/>
    <x:n v="47"/>
    <x:n v="624.1"/>
    <x:s v="Referral"/>
    <x:s v="Europe"/>
    <x:d v="2024-10-03T00:00:00"/>
    <x:s v="No"/>
    <x:m/>
    <x:s v=""/>
    <x:n v="6"/>
    <x:n v="8"/>
    <x:n v="63"/>
    <x:s v="Yes"/>
    <x:n v="0"/>
  </x:r>
  <x:r>
    <x:s v="CUST-0223"/>
    <x:x v="1"/>
    <x:x v="0"/>
    <x:s v="Manufacturing"/>
    <x:s v="201-500"/>
    <x:n v="68"/>
    <x:n v="320.45"/>
    <x:s v="Paid Ads"/>
    <x:s v="North America"/>
    <x:d v="2025-04-01T00:00:00"/>
    <x:s v="Yes"/>
    <x:d v="2025-10-19T00:00:00"/>
    <x:s v="Switched Competitor"/>
    <x:n v="9"/>
    <x:n v="4"/>
    <x:n v="42"/>
    <x:s v="No"/>
    <x:n v="1"/>
  </x:r>
  <x:r>
    <x:s v="CUST-0224"/>
    <x:x v="3"/>
    <x:x v="1"/>
    <x:s v="Healthcare"/>
    <x:s v="51-200"/>
    <x:n v="72"/>
    <x:n v="4941.35"/>
    <x:s v="Social Media"/>
    <x:s v="Latin America"/>
    <x:d v="2025-02-01T00:00:00"/>
    <x:s v="Yes"/>
    <x:d v="2025-02-13T00:00:00"/>
    <x:s v="Missing Features"/>
    <x:n v="0"/>
    <x:n v="1"/>
    <x:n v="11"/>
    <x:s v="No"/>
    <x:n v="1"/>
  </x:r>
  <x:r>
    <x:s v="CUST-0225"/>
    <x:x v="0"/>
    <x:x v="1"/>
    <x:s v="Consulting"/>
    <x:s v="11-50"/>
    <x:n v="27"/>
    <x:n v="329.03"/>
    <x:s v="Organic Search"/>
    <x:s v="North America"/>
    <x:d v="2025-11-17T00:00:00"/>
    <x:s v="No"/>
    <x:m/>
    <x:s v=""/>
    <x:n v="7"/>
    <x:n v="4"/>
    <x:n v="39"/>
    <x:s v="No"/>
    <x:n v="0"/>
  </x:r>
  <x:r>
    <x:s v="CUST-0226"/>
    <x:x v="0"/>
    <x:x v="0"/>
    <x:s v="Retail"/>
    <x:s v="51-200"/>
    <x:n v="64"/>
    <x:n v="825.55"/>
    <x:s v="Organic Search"/>
    <x:s v="Europe"/>
    <x:d v="2025-04-18T00:00:00"/>
    <x:s v="No"/>
    <x:m/>
    <x:s v=""/>
    <x:n v="10"/>
    <x:n v="4"/>
    <x:n v="87"/>
    <x:s v="No"/>
    <x:n v="0"/>
  </x:r>
  <x:r>
    <x:s v="CUST-0227"/>
    <x:x v="1"/>
    <x:x v="0"/>
    <x:s v="Retail"/>
    <x:s v="1-10"/>
    <x:n v="6"/>
    <x:n v="50.75"/>
    <x:s v="Referral"/>
    <x:s v="Europe"/>
    <x:d v="2024-09-10T00:00:00"/>
    <x:s v="Yes"/>
    <x:d v="2024-10-27T00:00:00"/>
    <x:s v="Missing Features"/>
    <x:n v="5"/>
    <x:n v="3"/>
    <x:n v="39"/>
    <x:s v="No"/>
    <x:n v="1"/>
  </x:r>
  <x:r>
    <x:s v="CUST-0228"/>
    <x:x v="1"/>
    <x:x v="1"/>
    <x:s v="Consulting"/>
    <x:s v="11-50"/>
    <x:n v="10"/>
    <x:n v="57.93"/>
    <x:s v="Organic Search"/>
    <x:s v="Europe"/>
    <x:d v="2024-01-12T00:00:00"/>
    <x:s v="No"/>
    <x:m/>
    <x:s v=""/>
    <x:n v="8"/>
    <x:n v="6"/>
    <x:n v="46"/>
    <x:s v="Yes"/>
    <x:n v="0"/>
  </x:r>
  <x:r>
    <x:s v="CUST-0229"/>
    <x:x v="3"/>
    <x:x v="0"/>
    <x:s v="Manufacturing"/>
    <x:s v="201-500"/>
    <x:n v="118"/>
    <x:n v="9256.45"/>
    <x:s v="Organic Search"/>
    <x:s v="Europe"/>
    <x:d v="2024-04-06T00:00:00"/>
    <x:s v="No"/>
    <x:m/>
    <x:s v=""/>
    <x:n v="0"/>
    <x:n v="10"/>
    <x:n v="85"/>
    <x:s v="No"/>
    <x:n v="0"/>
  </x:r>
  <x:r>
    <x:s v="CUST-0230"/>
    <x:x v="1"/>
    <x:x v="0"/>
    <x:s v="Finance"/>
    <x:s v="11-50"/>
    <x:n v="24"/>
    <x:n v="129.05"/>
    <x:s v="Referral"/>
    <x:s v="North America"/>
    <x:d v="2023-06-10T00:00:00"/>
    <x:s v="Yes"/>
    <x:d v="2023-10-22T00:00:00"/>
    <x:s v="Switched Competitor"/>
    <x:n v="13"/>
    <x:n v="1"/>
    <x:n v="31"/>
    <x:s v="No"/>
    <x:n v="1"/>
  </x:r>
  <x:r>
    <x:s v="CUST-0231"/>
    <x:x v="1"/>
    <x:x v="0"/>
    <x:s v="Education"/>
    <x:s v="51-200"/>
    <x:n v="33"/>
    <x:n v="168.2"/>
    <x:s v="Direct Sales"/>
    <x:s v="North America"/>
    <x:d v="2023-11-16T00:00:00"/>
    <x:s v="No"/>
    <x:m/>
    <x:s v=""/>
    <x:n v="4"/>
    <x:n v="9"/>
    <x:n v="52"/>
    <x:s v="No"/>
    <x:n v="0"/>
  </x:r>
  <x:r>
    <x:s v="CUST-0232"/>
    <x:x v="0"/>
    <x:x v="0"/>
    <x:s v="Retail"/>
    <x:s v="51-200"/>
    <x:n v="44"/>
    <x:n v="588.55"/>
    <x:s v="Organic Search"/>
    <x:s v="Europe"/>
    <x:d v="2025-06-09T00:00:00"/>
    <x:s v="No"/>
    <x:m/>
    <x:s v=""/>
    <x:n v="9"/>
    <x:n v="5"/>
    <x:n v="71"/>
    <x:s v="No"/>
    <x:n v="0"/>
  </x:r>
  <x:r>
    <x:s v="CUST-0233"/>
    <x:x v="0"/>
    <x:x v="0"/>
    <x:s v="Real Estate"/>
    <x:s v="201-500"/>
    <x:n v="112"/>
    <x:n v="1394.35"/>
    <x:s v="Partner"/>
    <x:s v="North America"/>
    <x:d v="2025-02-07T00:00:00"/>
    <x:s v="No"/>
    <x:m/>
    <x:s v=""/>
    <x:n v="0"/>
    <x:n v="8"/>
    <x:n v="17"/>
    <x:s v="No"/>
    <x:n v="0"/>
  </x:r>
  <x:r>
    <x:s v="CUST-0234"/>
    <x:x v="2"/>
    <x:x v="0"/>
    <x:s v="Consulting"/>
    <x:s v="51-200"/>
    <x:n v="55"/>
    <x:n v="1810.9"/>
    <x:s v="Paid Ads"/>
    <x:s v="North America"/>
    <x:d v="2024-04-03T00:00:00"/>
    <x:s v="Yes"/>
    <x:d v="2024-12-04T00:00:00"/>
    <x:s v="Poor Support"/>
    <x:n v="2"/>
    <x:n v="2"/>
    <x:n v="15"/>
    <x:s v="No"/>
    <x:n v="1"/>
  </x:r>
  <x:r>
    <x:s v="CUST-0235"/>
    <x:x v="2"/>
    <x:x v="1"/>
    <x:s v="Consulting"/>
    <x:s v="11-50"/>
    <x:n v="15"/>
    <x:n v="524.37"/>
    <x:s v="Paid Ads"/>
    <x:s v="North America"/>
    <x:d v="2024-05-09T00:00:00"/>
    <x:s v="No"/>
    <x:m/>
    <x:s v=""/>
    <x:n v="6"/>
    <x:n v="9"/>
    <x:n v="23"/>
    <x:s v="Yes"/>
    <x:n v="0"/>
  </x:r>
  <x:r>
    <x:s v="CUST-0236"/>
    <x:x v="1"/>
    <x:x v="0"/>
    <x:s v="Media"/>
    <x:s v="201-500"/>
    <x:n v="45"/>
    <x:n v="220.4"/>
    <x:s v="Paid Ads"/>
    <x:s v="Europe"/>
    <x:d v="2023-07-10T00:00:00"/>
    <x:s v="Yes"/>
    <x:d v="2023-07-12T00:00:00"/>
    <x:s v="Company Closed"/>
    <x:n v="7"/>
    <x:n v="3"/>
    <x:n v="49"/>
    <x:s v="No"/>
    <x:n v="1"/>
  </x:r>
  <x:r>
    <x:s v="CUST-0237"/>
    <x:x v="0"/>
    <x:x v="0"/>
    <x:s v="Consulting"/>
    <x:s v="500+"/>
    <x:n v="109"/>
    <x:n v="1358.8"/>
    <x:s v="Direct Sales"/>
    <x:s v="Europe"/>
    <x:d v="2022-08-15T00:00:00"/>
    <x:s v="No"/>
    <x:m/>
    <x:s v=""/>
    <x:n v="0"/>
    <x:n v="3"/>
    <x:n v="30"/>
    <x:s v="No"/>
    <x:n v="0"/>
  </x:r>
  <x:r>
    <x:s v="CUST-0238"/>
    <x:x v="2"/>
    <x:x v="0"/>
    <x:s v="Real Estate"/>
    <x:s v="51-200"/>
    <x:n v="29"/>
    <x:n v="1034.8"/>
    <x:s v="Referral"/>
    <x:s v="North America"/>
    <x:d v="2023-04-29T00:00:00"/>
    <x:s v="No"/>
    <x:m/>
    <x:s v=""/>
    <x:n v="12"/>
    <x:n v="1"/>
    <x:n v="86"/>
    <x:s v="No"/>
    <x:n v="0"/>
  </x:r>
  <x:r>
    <x:s v="CUST-0239"/>
    <x:x v="2"/>
    <x:x v="0"/>
    <x:s v="Media"/>
    <x:s v="11-50"/>
    <x:n v="34"/>
    <x:n v="1184.05"/>
    <x:s v="Partner"/>
    <x:s v="Latin America"/>
    <x:d v="2022-04-16T00:00:00"/>
    <x:s v="Yes"/>
    <x:d v="2023-07-02T00:00:00"/>
    <x:s v="Missing Features"/>
    <x:n v="8"/>
    <x:n v="3"/>
    <x:n v="24"/>
    <x:s v="No"/>
    <x:n v="1"/>
  </x:r>
  <x:r>
    <x:s v="CUST-0240"/>
    <x:x v="1"/>
    <x:x v="1"/>
    <x:s v="Legal"/>
    <x:s v="1-10"/>
    <x:n v="4"/>
    <x:n v="35.74"/>
    <x:s v="Social Media"/>
    <x:s v="Asia Pacific"/>
    <x:d v="2025-02-15T00:00:00"/>
    <x:s v="No"/>
    <x:m/>
    <x:s v=""/>
    <x:n v="6"/>
    <x:n v="2"/>
    <x:n v="23"/>
    <x:s v="No"/>
    <x:n v="0"/>
  </x:r>
  <x:r>
    <x:s v="CUST-0241"/>
    <x:x v="1"/>
    <x:x v="0"/>
    <x:s v="Technology"/>
    <x:s v="51-200"/>
    <x:n v="66"/>
    <x:n v="311.75"/>
    <x:s v="Referral"/>
    <x:s v="Asia Pacific"/>
    <x:d v="2023-09-09T00:00:00"/>
    <x:s v="Yes"/>
    <x:d v="2023-10-29T00:00:00"/>
    <x:s v="Budget Cuts"/>
    <x:n v="1"/>
    <x:n v="4"/>
    <x:n v="15"/>
    <x:s v="No"/>
    <x:n v="1"/>
  </x:r>
  <x:r>
    <x:s v="CUST-0242"/>
    <x:x v="2"/>
    <x:x v="1"/>
    <x:s v="Manufacturing"/>
    <x:s v="11-50"/>
    <x:n v="10"/>
    <x:n v="397.5"/>
    <x:s v="Paid Ads"/>
    <x:s v="Asia Pacific"/>
    <x:d v="2023-11-02T00:00:00"/>
    <x:s v="No"/>
    <x:m/>
    <x:s v=""/>
    <x:n v="1"/>
    <x:n v="8"/>
    <x:n v="38"/>
    <x:s v="No"/>
    <x:n v="0"/>
  </x:r>
  <x:r>
    <x:s v="CUST-0243"/>
    <x:x v="3"/>
    <x:x v="0"/>
    <x:s v="Retail"/>
    <x:s v="201-500"/>
    <x:n v="122"/>
    <x:n v="9555.85"/>
    <x:s v="Organic Search"/>
    <x:s v="North America"/>
    <x:d v="2024-10-07T00:00:00"/>
    <x:s v="No"/>
    <x:m/>
    <x:s v=""/>
    <x:n v="4"/>
    <x:n v="7"/>
    <x:n v="94"/>
    <x:s v="Yes"/>
    <x:n v="0"/>
  </x:r>
  <x:r>
    <x:s v="CUST-0244"/>
    <x:x v="1"/>
    <x:x v="0"/>
    <x:s v="Technology"/>
    <x:s v="51-200"/>
    <x:n v="23"/>
    <x:n v="124.7"/>
    <x:s v="Paid Ads"/>
    <x:s v="Europe"/>
    <x:d v="2025-04-21T00:00:00"/>
    <x:s v="Yes"/>
    <x:d v="2025-05-07T00:00:00"/>
    <x:s v="Poor Support"/>
    <x:n v="7"/>
    <x:n v="6"/>
    <x:n v="18"/>
    <x:s v="No"/>
    <x:n v="1"/>
  </x:r>
  <x:r>
    <x:s v="CUST-0245"/>
    <x:x v="2"/>
    <x:x v="1"/>
    <x:s v="Manufacturing"/>
    <x:s v="1-10"/>
    <x:n v="1"/>
    <x:n v="169.15"/>
    <x:s v="Organic Search"/>
    <x:s v="North America"/>
    <x:d v="2025-11-28T00:00:00"/>
    <x:s v="No"/>
    <x:m/>
    <x:s v=""/>
    <x:n v="5"/>
    <x:n v="3"/>
    <x:n v="39"/>
    <x:s v="No"/>
    <x:n v="0"/>
  </x:r>
  <x:r>
    <x:s v="CUST-0246"/>
    <x:x v="0"/>
    <x:x v="0"/>
    <x:s v="Consulting"/>
    <x:s v="1-10"/>
    <x:n v="6"/>
    <x:n v="138.25"/>
    <x:s v="Referral"/>
    <x:s v="Europe"/>
    <x:d v="2024-04-15T00:00:00"/>
    <x:s v="Yes"/>
    <x:d v="2024-06-23T00:00:00"/>
    <x:s v="Missing Features"/>
    <x:n v="5"/>
    <x:n v="4"/>
    <x:n v="14"/>
    <x:s v="No"/>
    <x:n v="1"/>
  </x:r>
  <x:r>
    <x:s v="CUST-0247"/>
    <x:x v="2"/>
    <x:x v="1"/>
    <x:s v="Media"/>
    <x:s v="500+"/>
    <x:n v="251"/>
    <x:n v="6512.27"/>
    <x:s v="Social Media"/>
    <x:s v="Latin America"/>
    <x:d v="2025-11-07T00:00:00"/>
    <x:s v="No"/>
    <x:m/>
    <x:s v=""/>
    <x:n v="10"/>
    <x:n v="6"/>
    <x:n v="38"/>
    <x:s v="No"/>
    <x:n v="0"/>
  </x:r>
  <x:r>
    <x:s v="CUST-0248"/>
    <x:x v="1"/>
    <x:x v="1"/>
    <x:s v="Healthcare"/>
    <x:s v="201-500"/>
    <x:n v="111"/>
    <x:n v="431.37"/>
    <x:s v="Direct Sales"/>
    <x:s v="Europe"/>
    <x:d v="2024-03-22T00:00:00"/>
    <x:s v="Yes"/>
    <x:d v="2024-11-18T00:00:00"/>
    <x:s v="Company Closed"/>
    <x:n v="5"/>
    <x:n v="1"/>
    <x:n v="36"/>
    <x:s v="No"/>
    <x:n v="1"/>
  </x:r>
  <x:r>
    <x:s v="CUST-0249"/>
    <x:x v="0"/>
    <x:x v="0"/>
    <x:s v="Finance"/>
    <x:s v="1-10"/>
    <x:n v="6"/>
    <x:n v="138.25"/>
    <x:s v="Direct Sales"/>
    <x:s v="North America"/>
    <x:d v="2025-04-18T00:00:00"/>
    <x:s v="Yes"/>
    <x:d v="2025-10-15T00:00:00"/>
    <x:s v="Poor Support"/>
    <x:n v="5"/>
    <x:n v="3"/>
    <x:n v="36"/>
    <x:s v="No"/>
    <x:n v="1"/>
  </x:r>
  <x:r>
    <x:s v="CUST-0250"/>
    <x:x v="2"/>
    <x:x v="0"/>
    <x:s v="Education"/>
    <x:s v="1-10"/>
    <x:n v="1"/>
    <x:n v="199"/>
    <x:s v="Referral"/>
    <x:s v="North America"/>
    <x:d v="2025-10-14T00:00:00"/>
    <x:s v="No"/>
    <x:m/>
    <x:s v=""/>
    <x:n v="1"/>
    <x:n v="10"/>
    <x:n v="69"/>
    <x:s v="No"/>
    <x:n v="0"/>
  </x:r>
  <x:r>
    <x:s v="CUST-0251"/>
    <x:x v="1"/>
    <x:x v="1"/>
    <x:s v="Legal"/>
    <x:s v="11-50"/>
    <x:n v="31"/>
    <x:n v="135.57"/>
    <x:s v="Partner"/>
    <x:s v="Europe"/>
    <x:d v="2022-09-28T00:00:00"/>
    <x:s v="Yes"/>
    <x:d v="2025-01-12T00:00:00"/>
    <x:s v="Price Too High"/>
    <x:n v="0"/>
    <x:n v="6"/>
    <x:n v="40"/>
    <x:s v="No"/>
    <x:n v="1"/>
  </x:r>
  <x:r>
    <x:s v="CUST-0252"/>
    <x:x v="2"/>
    <x:x v="1"/>
    <x:s v="Legal"/>
    <x:s v="11-50"/>
    <x:n v="19"/>
    <x:n v="625.86"/>
    <x:s v="Social Media"/>
    <x:s v="North America"/>
    <x:d v="2024-05-12T00:00:00"/>
    <x:s v="Yes"/>
    <x:d v="2025-10-19T00:00:00"/>
    <x:s v="Poor Support"/>
    <x:n v="15"/>
    <x:n v="2"/>
    <x:n v="47"/>
    <x:s v="No"/>
    <x:n v="1"/>
  </x:r>
  <x:r>
    <x:s v="CUST-0253"/>
    <x:x v="0"/>
    <x:x v="0"/>
    <x:s v="Legal"/>
    <x:s v="11-50"/>
    <x:n v="32"/>
    <x:n v="446.35"/>
    <x:s v="Organic Search"/>
    <x:s v="North America"/>
    <x:d v="2022-11-29T00:00:00"/>
    <x:s v="Yes"/>
    <x:d v="2024-01-13T00:00:00"/>
    <x:s v="Company Closed"/>
    <x:n v="7"/>
    <x:n v="1"/>
    <x:n v="20"/>
    <x:s v="No"/>
    <x:n v="1"/>
  </x:r>
  <x:r>
    <x:s v="CUST-0254"/>
    <x:x v="1"/>
    <x:x v="1"/>
    <x:s v="Media"/>
    <x:s v="11-50"/>
    <x:n v="12"/>
    <x:n v="65.32"/>
    <x:s v="Organic Search"/>
    <x:s v="Europe"/>
    <x:d v="2025-05-18T00:00:00"/>
    <x:s v="No"/>
    <x:m/>
    <x:s v=""/>
    <x:n v="0"/>
    <x:n v="9"/>
    <x:n v="50"/>
    <x:s v="Yes"/>
    <x:n v="0"/>
  </x:r>
  <x:r>
    <x:s v="CUST-0255"/>
    <x:x v="2"/>
    <x:x v="0"/>
    <x:s v="Real Estate"/>
    <x:s v="1-10"/>
    <x:n v="1"/>
    <x:n v="199"/>
    <x:s v="Organic Search"/>
    <x:s v="Europe"/>
    <x:d v="2022-03-25T00:00:00"/>
    <x:s v="Yes"/>
    <x:d v="2022-04-20T00:00:00"/>
    <x:s v="Budget Cuts"/>
    <x:n v="14"/>
    <x:n v="5"/>
    <x:n v="28"/>
    <x:s v="No"/>
    <x:n v="1"/>
  </x:r>
  <x:r>
    <x:s v="CUST-0256"/>
    <x:x v="2"/>
    <x:x v="0"/>
    <x:s v="Education"/>
    <x:s v="11-50"/>
    <x:n v="7"/>
    <x:n v="378.1"/>
    <x:s v="Organic Search"/>
    <x:s v="North America"/>
    <x:d v="2023-03-07T00:00:00"/>
    <x:s v="No"/>
    <x:m/>
    <x:s v=""/>
    <x:n v="10"/>
    <x:n v="10"/>
    <x:n v="58"/>
    <x:s v="Yes"/>
    <x:n v="0"/>
  </x:r>
  <x:r>
    <x:s v="CUST-0257"/>
    <x:x v="1"/>
    <x:x v="1"/>
    <x:s v="Retail"/>
    <x:s v="500+"/>
    <x:n v="285"/>
    <x:n v="1074.74"/>
    <x:s v="Social Media"/>
    <x:s v="North America"/>
    <x:d v="2024-09-27T00:00:00"/>
    <x:s v="No"/>
    <x:m/>
    <x:s v=""/>
    <x:n v="2"/>
    <x:n v="9"/>
    <x:n v="91"/>
    <x:s v="Yes"/>
    <x:n v="0"/>
  </x:r>
  <x:r>
    <x:s v="CUST-0258"/>
    <x:x v="1"/>
    <x:x v="1"/>
    <x:s v="Real Estate"/>
    <x:s v="51-200"/>
    <x:n v="31"/>
    <x:n v="135.57"/>
    <x:s v="Referral"/>
    <x:s v="Europe"/>
    <x:d v="2022-04-19T00:00:00"/>
    <x:s v="Yes"/>
    <x:d v="2024-04-18T00:00:00"/>
    <x:s v="No Longer Needed"/>
    <x:n v="4"/>
    <x:n v="5"/>
    <x:n v="36"/>
    <x:s v="No"/>
    <x:n v="1"/>
  </x:r>
  <x:r>
    <x:s v="CUST-0259"/>
    <x:x v="0"/>
    <x:x v="1"/>
    <x:s v="Media"/>
    <x:s v="201-500"/>
    <x:n v="143"/>
    <x:n v="1497.45"/>
    <x:s v="Partner"/>
    <x:s v="Asia Pacific"/>
    <x:d v="2025-07-02T00:00:00"/>
    <x:s v="No"/>
    <x:m/>
    <x:s v=""/>
    <x:n v="3"/>
    <x:n v="1"/>
    <x:n v="84"/>
    <x:s v="No"/>
    <x:n v="0"/>
  </x:r>
  <x:r>
    <x:s v="CUST-0260"/>
    <x:x v="0"/>
    <x:x v="0"/>
    <x:s v="Real Estate"/>
    <x:s v="500+"/>
    <x:n v="193"/>
    <x:n v="2354.2"/>
    <x:s v="Organic Search"/>
    <x:s v="North America"/>
    <x:d v="2023-07-30T00:00:00"/>
    <x:s v="Yes"/>
    <x:d v="2025-02-05T00:00:00"/>
    <x:s v="Switched Competitor"/>
    <x:n v="3"/>
    <x:n v="3"/>
    <x:n v="39"/>
    <x:s v="No"/>
    <x:n v="1"/>
  </x:r>
  <x:r>
    <x:s v="CUST-0261"/>
    <x:x v="0"/>
    <x:x v="1"/>
    <x:s v="Legal"/>
    <x:s v="1-10"/>
    <x:n v="5"/>
    <x:n v="107.44"/>
    <x:s v="Organic Search"/>
    <x:s v="North America"/>
    <x:d v="2024-09-08T00:00:00"/>
    <x:s v="No"/>
    <x:m/>
    <x:s v=""/>
    <x:n v="1"/>
    <x:n v="9"/>
    <x:n v="95"/>
    <x:s v="No"/>
    <x:n v="0"/>
  </x:r>
  <x:r>
    <x:s v="CUST-0262"/>
    <x:x v="2"/>
    <x:x v="0"/>
    <x:s v="Manufacturing"/>
    <x:s v="1-10"/>
    <x:n v="8"/>
    <x:n v="407.95"/>
    <x:s v="Partner"/>
    <x:s v="North America"/>
    <x:d v="2024-02-05T00:00:00"/>
    <x:s v="Yes"/>
    <x:d v="2025-05-14T00:00:00"/>
    <x:s v="Budget Cuts"/>
    <x:n v="14"/>
    <x:n v="6"/>
    <x:n v="19"/>
    <x:s v="No"/>
    <x:n v="1"/>
  </x:r>
  <x:r>
    <x:s v="CUST-0263"/>
    <x:x v="2"/>
    <x:x v="1"/>
    <x:s v="Healthcare"/>
    <x:s v="11-50"/>
    <x:n v="8"/>
    <x:n v="346.76"/>
    <x:s v="Partner"/>
    <x:s v="Europe"/>
    <x:d v="2025-08-08T00:00:00"/>
    <x:s v="No"/>
    <x:m/>
    <x:s v=""/>
    <x:n v="3"/>
    <x:n v="6"/>
    <x:n v="43"/>
    <x:s v="No"/>
    <x:n v="0"/>
  </x:r>
  <x:r>
    <x:s v="CUST-0264"/>
    <x:x v="1"/>
    <x:x v="0"/>
    <x:s v="Media"/>
    <x:s v="51-200"/>
    <x:n v="52"/>
    <x:n v="250.85"/>
    <x:s v="Organic Search"/>
    <x:s v="North America"/>
    <x:d v="2025-02-14T00:00:00"/>
    <x:s v="No"/>
    <x:m/>
    <x:s v=""/>
    <x:n v="2"/>
    <x:n v="7"/>
    <x:n v="42"/>
    <x:s v="No"/>
    <x:n v="0"/>
  </x:r>
  <x:r>
    <x:s v="CUST-0265"/>
    <x:x v="0"/>
    <x:x v="0"/>
    <x:s v="Manufacturing"/>
    <x:s v="51-200"/>
    <x:n v="45"/>
    <x:n v="600.4"/>
    <x:s v="Paid Ads"/>
    <x:s v="North America"/>
    <x:d v="2025-03-22T00:00:00"/>
    <x:s v="No"/>
    <x:m/>
    <x:s v=""/>
    <x:n v="11"/>
    <x:n v="1"/>
    <x:n v="56"/>
    <x:s v="No"/>
    <x:n v="0"/>
  </x:r>
  <x:r>
    <x:s v="CUST-0266"/>
    <x:x v="1"/>
    <x:x v="1"/>
    <x:s v="Retail"/>
    <x:s v="11-50"/>
    <x:n v="22"/>
    <x:n v="102.3"/>
    <x:s v="Referral"/>
    <x:s v="North America"/>
    <x:d v="2022-04-14T00:00:00"/>
    <x:s v="Yes"/>
    <x:d v="2022-07-08T00:00:00"/>
    <x:s v="Budget Cuts"/>
    <x:n v="5"/>
    <x:n v="4"/>
    <x:n v="20"/>
    <x:s v="No"/>
    <x:n v="1"/>
  </x:r>
  <x:r>
    <x:s v="CUST-0267"/>
    <x:x v="3"/>
    <x:x v="0"/>
    <x:s v="Consulting"/>
    <x:s v="1-10"/>
    <x:n v="3"/>
    <x:n v="648.7"/>
    <x:s v="Paid Ads"/>
    <x:s v="Asia Pacific"/>
    <x:d v="2023-05-07T00:00:00"/>
    <x:s v="No"/>
    <x:m/>
    <x:s v=""/>
    <x:n v="3"/>
    <x:n v="1"/>
    <x:n v="41"/>
    <x:s v="No"/>
    <x:n v="0"/>
  </x:r>
  <x:r>
    <x:s v="CUST-0268"/>
    <x:x v="0"/>
    <x:x v="1"/>
    <x:s v="Retail"/>
    <x:s v="201-500"/>
    <x:n v="49"/>
    <x:n v="550.63"/>
    <x:s v="Organic Search"/>
    <x:s v="North America"/>
    <x:d v="2022-09-26T00:00:00"/>
    <x:s v="No"/>
    <x:m/>
    <x:s v=""/>
    <x:n v="12"/>
    <x:n v="7"/>
    <x:n v="46"/>
    <x:s v="No"/>
    <x:n v="0"/>
  </x:r>
  <x:r>
    <x:s v="CUST-0269"/>
    <x:x v="0"/>
    <x:x v="0"/>
    <x:s v="Consulting"/>
    <x:s v="1-10"/>
    <x:n v="3"/>
    <x:n v="102.7"/>
    <x:s v="Social Media"/>
    <x:s v="Asia Pacific"/>
    <x:d v="2025-04-03T00:00:00"/>
    <x:s v="Yes"/>
    <x:d v="2025-12-11T00:00:00"/>
    <x:s v="No Longer Needed"/>
    <x:n v="3"/>
    <x:n v="2"/>
    <x:n v="20"/>
    <x:s v="No"/>
    <x:n v="1"/>
  </x:r>
  <x:r>
    <x:s v="CUST-0270"/>
    <x:x v="0"/>
    <x:x v="0"/>
    <x:s v="Media"/>
    <x:s v="51-200"/>
    <x:n v="66"/>
    <x:n v="849.25"/>
    <x:s v="Referral"/>
    <x:s v="North America"/>
    <x:d v="2023-02-25T00:00:00"/>
    <x:s v="Yes"/>
    <x:d v="2025-08-03T00:00:00"/>
    <x:s v="Price Too High"/>
    <x:n v="6"/>
    <x:n v="2"/>
    <x:n v="37"/>
    <x:s v="No"/>
    <x:n v="1"/>
  </x:r>
  <x:r>
    <x:s v="CUST-0271"/>
    <x:x v="0"/>
    <x:x v="0"/>
    <x:s v="Technology"/>
    <x:s v="11-50"/>
    <x:n v="13"/>
    <x:n v="221.2"/>
    <x:s v="Organic Search"/>
    <x:s v="North America"/>
    <x:d v="2025-02-24T00:00:00"/>
    <x:s v="Yes"/>
    <x:d v="2025-03-05T00:00:00"/>
    <x:s v="Company Closed"/>
    <x:n v="6"/>
    <x:n v="4"/>
    <x:n v="19"/>
    <x:s v="No"/>
    <x:n v="1"/>
  </x:r>
  <x:r>
    <x:s v="CUST-0272"/>
    <x:x v="1"/>
    <x:x v="0"/>
    <x:s v="Legal"/>
    <x:s v="201-500"/>
    <x:n v="103"/>
    <x:n v="472.7"/>
    <x:s v="Partner"/>
    <x:s v="Europe"/>
    <x:d v="2024-02-21T00:00:00"/>
    <x:s v="Yes"/>
    <x:d v="2024-05-27T00:00:00"/>
    <x:s v="Budget Cuts"/>
    <x:n v="11"/>
    <x:n v="1"/>
    <x:n v="14"/>
    <x:s v="No"/>
    <x:n v="1"/>
  </x:r>
  <x:r>
    <x:s v="CUST-0273"/>
    <x:x v="0"/>
    <x:x v="1"/>
    <x:s v="Manufacturing"/>
    <x:s v="1-10"/>
    <x:n v="6"/>
    <x:n v="117.51"/>
    <x:s v="Organic Search"/>
    <x:s v="Latin America"/>
    <x:d v="2025-12-31T00:00:00"/>
    <x:s v="No"/>
    <x:m/>
    <x:s v=""/>
    <x:n v="2"/>
    <x:n v="9"/>
    <x:n v="20"/>
    <x:s v="No"/>
    <x:n v="0"/>
  </x:r>
  <x:r>
    <x:s v="CUST-0274"/>
    <x:x v="0"/>
    <x:x v="1"/>
    <x:s v="Finance"/>
    <x:s v="51-200"/>
    <x:n v="41"/>
    <x:n v="470.05"/>
    <x:s v="Partner"/>
    <x:s v="Europe"/>
    <x:d v="2025-08-13T00:00:00"/>
    <x:s v="No"/>
    <x:m/>
    <x:s v=""/>
    <x:n v="2"/>
    <x:n v="8"/>
    <x:n v="37"/>
    <x:s v="No"/>
    <x:n v="0"/>
  </x:r>
  <x:r>
    <x:s v="CUST-0275"/>
    <x:x v="2"/>
    <x:x v="0"/>
    <x:s v="Education"/>
    <x:s v="1-10"/>
    <x:n v="6"/>
    <x:n v="348.25"/>
    <x:s v="Organic Search"/>
    <x:s v="Latin America"/>
    <x:d v="2024-10-01T00:00:00"/>
    <x:s v="No"/>
    <x:m/>
    <x:s v=""/>
    <x:n v="7"/>
    <x:n v="7"/>
    <x:n v="30"/>
    <x:s v="No"/>
    <x:n v="0"/>
  </x:r>
  <x:r>
    <x:s v="CUST-0276"/>
    <x:x v="1"/>
    <x:x v="0"/>
    <x:s v="Legal"/>
    <x:s v="201-500"/>
    <x:n v="50"/>
    <x:n v="242.15"/>
    <x:s v="Referral"/>
    <x:s v="Asia Pacific"/>
    <x:d v="2024-01-28T00:00:00"/>
    <x:s v="No"/>
    <x:m/>
    <x:s v=""/>
    <x:n v="0"/>
    <x:n v="3"/>
    <x:n v="40"/>
    <x:s v="Yes"/>
    <x:n v="0"/>
  </x:r>
  <x:r>
    <x:s v="CUST-0277"/>
    <x:x v="3"/>
    <x:x v="0"/>
    <x:s v="Education"/>
    <x:s v="11-50"/>
    <x:n v="31"/>
    <x:n v="2744.5"/>
    <x:s v="Referral"/>
    <x:s v="Europe"/>
    <x:d v="2023-02-02T00:00:00"/>
    <x:s v="Yes"/>
    <x:d v="2023-05-07T00:00:00"/>
    <x:s v="Switched Competitor"/>
    <x:n v="3"/>
    <x:n v="1"/>
    <x:n v="12"/>
    <x:s v="No"/>
    <x:n v="1"/>
  </x:r>
  <x:r>
    <x:s v="CUST-0278"/>
    <x:x v="2"/>
    <x:x v="0"/>
    <x:s v="Finance"/>
    <x:s v="51-200"/>
    <x:n v="48"/>
    <x:n v="1601.95"/>
    <x:s v="Organic Search"/>
    <x:s v="Europe"/>
    <x:d v="2025-10-17T00:00:00"/>
    <x:s v="No"/>
    <x:m/>
    <x:s v=""/>
    <x:n v="7"/>
    <x:n v="4"/>
    <x:n v="52"/>
    <x:s v="No"/>
    <x:n v="0"/>
  </x:r>
  <x:r>
    <x:s v="CUST-0279"/>
    <x:x v="1"/>
    <x:x v="0"/>
    <x:s v="Finance"/>
    <x:s v="1-10"/>
    <x:n v="7"/>
    <x:n v="55.1"/>
    <x:s v="Organic Search"/>
    <x:s v="North America"/>
    <x:d v="2025-09-09T00:00:00"/>
    <x:s v="No"/>
    <x:m/>
    <x:s v=""/>
    <x:n v="4"/>
    <x:n v="3"/>
    <x:n v="93"/>
    <x:s v="No"/>
    <x:n v="0"/>
  </x:r>
  <x:r>
    <x:s v="CUST-0280"/>
    <x:x v="1"/>
    <x:x v="0"/>
    <x:s v="Healthcare"/>
    <x:s v="1-10"/>
    <x:n v="3"/>
    <x:n v="37.7"/>
    <x:s v="Direct Sales"/>
    <x:s v="Europe"/>
    <x:d v="2025-05-01T00:00:00"/>
    <x:s v="No"/>
    <x:m/>
    <x:s v=""/>
    <x:n v="2"/>
    <x:n v="6"/>
    <x:n v="66"/>
    <x:s v="No"/>
    <x:n v="0"/>
  </x:r>
  <x:r>
    <x:s v="CUST-0281"/>
    <x:x v="2"/>
    <x:x v="1"/>
    <x:s v="Legal"/>
    <x:s v="11-50"/>
    <x:n v="25"/>
    <x:n v="778.09"/>
    <x:s v="Partner"/>
    <x:s v="North America"/>
    <x:d v="2025-06-11T00:00:00"/>
    <x:s v="No"/>
    <x:m/>
    <x:s v=""/>
    <x:n v="4"/>
    <x:n v="3"/>
    <x:n v="90"/>
    <x:s v="No"/>
    <x:n v="0"/>
  </x:r>
  <x:r>
    <x:s v="CUST-0282"/>
    <x:x v="0"/>
    <x:x v="0"/>
    <x:s v="Finance"/>
    <x:s v="11-50"/>
    <x:n v="15"/>
    <x:n v="244.9"/>
    <x:s v="Partner"/>
    <x:s v="North America"/>
    <x:d v="2025-05-03T00:00:00"/>
    <x:s v="No"/>
    <x:m/>
    <x:s v=""/>
    <x:n v="1"/>
    <x:n v="6"/>
    <x:n v="86"/>
    <x:s v="Yes"/>
    <x:n v="0"/>
  </x:r>
  <x:r>
    <x:s v="CUST-0283"/>
    <x:x v="0"/>
    <x:x v="0"/>
    <x:s v="Manufacturing"/>
    <x:s v="51-200"/>
    <x:n v="18"/>
    <x:n v="280.45"/>
    <x:s v="Paid Ads"/>
    <x:s v="North America"/>
    <x:d v="2022-11-22T00:00:00"/>
    <x:s v="Yes"/>
    <x:d v="2025-09-25T00:00:00"/>
    <x:s v="Switched Competitor"/>
    <x:n v="6"/>
    <x:n v="2"/>
    <x:n v="11"/>
    <x:s v="No"/>
    <x:n v="1"/>
  </x:r>
  <x:r>
    <x:s v="CUST-0284"/>
    <x:x v="1"/>
    <x:x v="0"/>
    <x:s v="Manufacturing"/>
    <x:s v="201-500"/>
    <x:n v="82"/>
    <x:n v="381.35"/>
    <x:s v="Organic Search"/>
    <x:s v="North America"/>
    <x:d v="2024-11-10T00:00:00"/>
    <x:s v="No"/>
    <x:m/>
    <x:s v=""/>
    <x:n v="10"/>
    <x:n v="4"/>
    <x:n v="84"/>
    <x:s v="Yes"/>
    <x:n v="0"/>
  </x:r>
  <x:r>
    <x:s v="CUST-0285"/>
    <x:x v="1"/>
    <x:x v="0"/>
    <x:s v="Healthcare"/>
    <x:s v="201-500"/>
    <x:n v="111"/>
    <x:n v="507.5"/>
    <x:s v="Social Media"/>
    <x:s v="North America"/>
    <x:d v="2025-12-13T00:00:00"/>
    <x:s v="No"/>
    <x:m/>
    <x:s v=""/>
    <x:n v="9"/>
    <x:n v="7"/>
    <x:n v="73"/>
    <x:s v="No"/>
    <x:n v="0"/>
  </x:r>
  <x:r>
    <x:s v="CUST-0286"/>
    <x:x v="2"/>
    <x:x v="1"/>
    <x:s v="Finance"/>
    <x:s v="1-10"/>
    <x:n v="2"/>
    <x:n v="194.52"/>
    <x:s v="Organic Search"/>
    <x:s v="Latin America"/>
    <x:d v="2023-07-02T00:00:00"/>
    <x:s v="Yes"/>
    <x:d v="2023-09-25T00:00:00"/>
    <x:s v="Budget Cuts"/>
    <x:n v="1"/>
    <x:n v="2"/>
    <x:n v="39"/>
    <x:s v="No"/>
    <x:n v="1"/>
  </x:r>
  <x:r>
    <x:s v="CUST-0287"/>
    <x:x v="3"/>
    <x:x v="0"/>
    <x:s v="Manufacturing"/>
    <x:s v="51-200"/>
    <x:n v="71"/>
    <x:n v="5738.5"/>
    <x:s v="Referral"/>
    <x:s v="North America"/>
    <x:d v="2023-01-13T00:00:00"/>
    <x:s v="No"/>
    <x:m/>
    <x:s v=""/>
    <x:n v="9"/>
    <x:n v="10"/>
    <x:n v="36"/>
    <x:s v="No"/>
    <x:n v="0"/>
  </x:r>
  <x:r>
    <x:s v="CUST-0288"/>
    <x:x v="2"/>
    <x:x v="0"/>
    <x:s v="Technology"/>
    <x:s v="11-50"/>
    <x:n v="19"/>
    <x:n v="736.3"/>
    <x:s v="Organic Search"/>
    <x:s v="North America"/>
    <x:d v="2025-03-22T00:00:00"/>
    <x:s v="No"/>
    <x:m/>
    <x:s v=""/>
    <x:n v="12"/>
    <x:n v="9"/>
    <x:n v="47"/>
    <x:s v="Yes"/>
    <x:n v="0"/>
  </x:r>
  <x:r>
    <x:s v="CUST-0289"/>
    <x:x v="0"/>
    <x:x v="0"/>
    <x:s v="Manufacturing"/>
    <x:s v="51-200"/>
    <x:n v="51"/>
    <x:n v="671.5"/>
    <x:s v="Organic Search"/>
    <x:s v="North America"/>
    <x:d v="2022-01-06T00:00:00"/>
    <x:s v="No"/>
    <x:m/>
    <x:s v=""/>
    <x:n v="3"/>
    <x:n v="7"/>
    <x:n v="75"/>
    <x:s v="No"/>
    <x:n v="0"/>
  </x:r>
  <x:r>
    <x:s v="CUST-0290"/>
    <x:x v="2"/>
    <x:x v="1"/>
    <x:s v="Consulting"/>
    <x:s v="201-500"/>
    <x:n v="55"/>
    <x:n v="1539.27"/>
    <x:s v="Paid Ads"/>
    <x:s v="Latin America"/>
    <x:d v="2022-07-29T00:00:00"/>
    <x:s v="Yes"/>
    <x:d v="2024-05-29T00:00:00"/>
    <x:s v="Poor Support"/>
    <x:n v="8"/>
    <x:n v="2"/>
    <x:n v="34"/>
    <x:s v="No"/>
    <x:n v="1"/>
  </x:r>
  <x:r>
    <x:s v="CUST-0291"/>
    <x:x v="3"/>
    <x:x v="1"/>
    <x:s v="Finance"/>
    <x:s v="51-200"/>
    <x:n v="16"/>
    <x:n v="1378.49"/>
    <x:s v="Social Media"/>
    <x:s v="North America"/>
    <x:d v="2023-01-12T00:00:00"/>
    <x:s v="No"/>
    <x:m/>
    <x:s v=""/>
    <x:n v="9"/>
    <x:n v="6"/>
    <x:n v="31"/>
    <x:s v="No"/>
    <x:n v="0"/>
  </x:r>
  <x:r>
    <x:s v="CUST-0292"/>
    <x:x v="0"/>
    <x:x v="0"/>
    <x:s v="Technology"/>
    <x:s v="1-10"/>
    <x:n v="8"/>
    <x:n v="161.95"/>
    <x:s v="Direct Sales"/>
    <x:s v="North America"/>
    <x:d v="2023-07-03T00:00:00"/>
    <x:s v="Yes"/>
    <x:d v="2025-01-31T00:00:00"/>
    <x:s v="Switched Competitor"/>
    <x:n v="3"/>
    <x:n v="1"/>
    <x:n v="32"/>
    <x:s v="No"/>
    <x:n v="1"/>
  </x:r>
  <x:r>
    <x:s v="CUST-0293"/>
    <x:x v="0"/>
    <x:x v="0"/>
    <x:s v="Finance"/>
    <x:s v="11-50"/>
    <x:n v="24"/>
    <x:n v="351.55"/>
    <x:s v="Direct Sales"/>
    <x:s v="North America"/>
    <x:d v="2022-02-21T00:00:00"/>
    <x:s v="Yes"/>
    <x:d v="2022-08-11T00:00:00"/>
    <x:s v="Switched Competitor"/>
    <x:n v="8"/>
    <x:n v="1"/>
    <x:n v="35"/>
    <x:s v="No"/>
    <x:n v="1"/>
  </x:r>
  <x:r>
    <x:s v="CUST-0294"/>
    <x:x v="2"/>
    <x:x v="0"/>
    <x:s v="Finance"/>
    <x:s v="51-200"/>
    <x:n v="51"/>
    <x:n v="1691.5"/>
    <x:s v="Referral"/>
    <x:s v="North America"/>
    <x:d v="2025-08-22T00:00:00"/>
    <x:s v="Yes"/>
    <x:d v="2025-11-14T00:00:00"/>
    <x:s v="Switched Competitor"/>
    <x:n v="1"/>
    <x:n v="4"/>
    <x:n v="25"/>
    <x:s v="No"/>
    <x:n v="1"/>
  </x:r>
  <x:r>
    <x:s v="CUST-0295"/>
    <x:x v="1"/>
    <x:x v="0"/>
    <x:s v="Manufacturing"/>
    <x:s v="201-500"/>
    <x:n v="34"/>
    <x:n v="172.55"/>
    <x:s v="Referral"/>
    <x:s v="Europe"/>
    <x:d v="2022-10-12T00:00:00"/>
    <x:s v="Yes"/>
    <x:d v="2022-10-29T00:00:00"/>
    <x:s v="Budget Cuts"/>
    <x:n v="6"/>
    <x:n v="4"/>
    <x:n v="12"/>
    <x:s v="No"/>
    <x:n v="1"/>
  </x:r>
  <x:r>
    <x:s v="CUST-0296"/>
    <x:x v="1"/>
    <x:x v="0"/>
    <x:s v="Education"/>
    <x:s v="201-500"/>
    <x:n v="146"/>
    <x:n v="659.75"/>
    <x:s v="Partner"/>
    <x:s v="North America"/>
    <x:d v="2023-10-19T00:00:00"/>
    <x:s v="Yes"/>
    <x:d v="2023-11-10T00:00:00"/>
    <x:s v="Price Too High"/>
    <x:n v="8"/>
    <x:n v="3"/>
    <x:n v="13"/>
    <x:s v="No"/>
    <x:n v="1"/>
  </x:r>
  <x:r>
    <x:s v="CUST-0297"/>
    <x:x v="2"/>
    <x:x v="0"/>
    <x:s v="Technology"/>
    <x:s v="51-200"/>
    <x:n v="36"/>
    <x:n v="1243.75"/>
    <x:s v="Paid Ads"/>
    <x:s v="North America"/>
    <x:d v="2024-12-19T00:00:00"/>
    <x:s v="No"/>
    <x:m/>
    <x:s v=""/>
    <x:n v="6"/>
    <x:n v="10"/>
    <x:n v="82"/>
    <x:s v="No"/>
    <x:n v="0"/>
  </x:r>
  <x:r>
    <x:s v="CUST-0298"/>
    <x:x v="1"/>
    <x:x v="0"/>
    <x:s v="Education"/>
    <x:s v="51-200"/>
    <x:n v="70"/>
    <x:n v="329.15"/>
    <x:s v="Direct Sales"/>
    <x:s v="Latin America"/>
    <x:d v="2023-06-28T00:00:00"/>
    <x:s v="Yes"/>
    <x:d v="2024-08-27T00:00:00"/>
    <x:s v="Budget Cuts"/>
    <x:n v="15"/>
    <x:n v="2"/>
    <x:n v="11"/>
    <x:s v="No"/>
    <x:n v="1"/>
  </x:r>
  <x:r>
    <x:s v="CUST-0299"/>
    <x:x v="2"/>
    <x:x v="0"/>
    <x:s v="Retail"/>
    <x:s v="11-50"/>
    <x:n v="13"/>
    <x:n v="557.2"/>
    <x:s v="Organic Search"/>
    <x:s v="North America"/>
    <x:d v="2022-04-29T00:00:00"/>
    <x:s v="Yes"/>
    <x:d v="2022-07-15T00:00:00"/>
    <x:s v="Price Too High"/>
    <x:n v="6"/>
    <x:n v="6"/>
    <x:n v="43"/>
    <x:s v="No"/>
    <x:n v="1"/>
  </x:r>
  <x:r>
    <x:s v="CUST-0300"/>
    <x:x v="1"/>
    <x:x v="0"/>
    <x:s v="Manufacturing"/>
    <x:s v="11-50"/>
    <x:n v="23"/>
    <x:n v="124.7"/>
    <x:s v="Paid Ads"/>
    <x:s v="Europe"/>
    <x:d v="2025-06-06T00:00:00"/>
    <x:s v="No"/>
    <x:m/>
    <x:s v=""/>
    <x:n v="11"/>
    <x:n v="10"/>
    <x:n v="44"/>
    <x:s v="No"/>
    <x:n v="0"/>
  </x:r>
  <x:r>
    <x:s v="CUST-0301"/>
    <x:x v="0"/>
    <x:x v="1"/>
    <x:s v="Legal"/>
    <x:s v="201-500"/>
    <x:n v="108"/>
    <x:n v="1144.91"/>
    <x:s v="Organic Search"/>
    <x:s v="North America"/>
    <x:d v="2024-12-14T00:00:00"/>
    <x:s v="No"/>
    <x:m/>
    <x:s v=""/>
    <x:n v="3"/>
    <x:n v="6"/>
    <x:n v="32"/>
    <x:s v="Yes"/>
    <x:n v="0"/>
  </x:r>
  <x:r>
    <x:s v="CUST-0302"/>
    <x:x v="2"/>
    <x:x v="1"/>
    <x:s v="Finance"/>
    <x:s v="11-50"/>
    <x:n v="19"/>
    <x:n v="625.86"/>
    <x:s v="Paid Ads"/>
    <x:s v="North America"/>
    <x:d v="2023-04-08T00:00:00"/>
    <x:s v="No"/>
    <x:m/>
    <x:s v=""/>
    <x:n v="8"/>
    <x:n v="10"/>
    <x:n v="53"/>
    <x:s v="No"/>
    <x:n v="0"/>
  </x:r>
  <x:r>
    <x:s v="CUST-0303"/>
    <x:x v="2"/>
    <x:x v="1"/>
    <x:s v="Consulting"/>
    <x:s v="11-50"/>
    <x:n v="22"/>
    <x:n v="701.97"/>
    <x:s v="Social Media"/>
    <x:s v="Latin America"/>
    <x:d v="2022-01-24T00:00:00"/>
    <x:s v="Yes"/>
    <x:d v="2023-12-12T00:00:00"/>
    <x:s v="Poor Support"/>
    <x:n v="1"/>
    <x:n v="5"/>
    <x:n v="10"/>
    <x:s v="No"/>
    <x:n v="1"/>
  </x:r>
  <x:r>
    <x:s v="CUST-0304"/>
    <x:x v="0"/>
    <x:x v="1"/>
    <x:s v="Media"/>
    <x:s v="11-50"/>
    <x:n v="29"/>
    <x:n v="349.18"/>
    <x:s v="Referral"/>
    <x:s v="North America"/>
    <x:d v="2022-12-03T00:00:00"/>
    <x:s v="Yes"/>
    <x:d v="2023-02-19T00:00:00"/>
    <x:s v="No Longer Needed"/>
    <x:n v="14"/>
    <x:n v="3"/>
    <x:n v="32"/>
    <x:s v="No"/>
    <x:n v="1"/>
  </x:r>
  <x:r>
    <x:s v="CUST-0305"/>
    <x:x v="2"/>
    <x:x v="0"/>
    <x:s v="Manufacturing"/>
    <x:s v="201-500"/>
    <x:n v="99"/>
    <x:n v="3124.3"/>
    <x:s v="Partner"/>
    <x:s v="North America"/>
    <x:d v="2025-02-24T00:00:00"/>
    <x:s v="No"/>
    <x:m/>
    <x:s v=""/>
    <x:n v="8"/>
    <x:n v="7"/>
    <x:n v="17"/>
    <x:s v="No"/>
    <x:n v="0"/>
  </x:r>
  <x:r>
    <x:s v="CUST-0306"/>
    <x:x v="2"/>
    <x:x v="0"/>
    <x:s v="Legal"/>
    <x:s v="11-50"/>
    <x:n v="26"/>
    <x:n v="945.25"/>
    <x:s v="Organic Search"/>
    <x:s v="Europe"/>
    <x:d v="2024-12-15T00:00:00"/>
    <x:s v="No"/>
    <x:m/>
    <x:s v=""/>
    <x:n v="4"/>
    <x:n v="6"/>
    <x:n v="41"/>
    <x:s v="No"/>
    <x:n v="0"/>
  </x:r>
  <x:r>
    <x:s v="CUST-0307"/>
    <x:x v="3"/>
    <x:x v="1"/>
    <x:s v="Manufacturing"/>
    <x:s v="51-200"/>
    <x:n v="50"/>
    <x:n v="3541.65"/>
    <x:s v="Organic Search"/>
    <x:s v="North America"/>
    <x:d v="2025-02-09T00:00:00"/>
    <x:s v="No"/>
    <x:m/>
    <x:s v=""/>
    <x:n v="9"/>
    <x:n v="9"/>
    <x:n v="36"/>
    <x:s v="No"/>
    <x:n v="0"/>
  </x:r>
  <x:r>
    <x:s v="CUST-0308"/>
    <x:x v="2"/>
    <x:x v="1"/>
    <x:s v="Consulting"/>
    <x:s v="11-50"/>
    <x:n v="21"/>
    <x:n v="676.6"/>
    <x:s v="Paid Ads"/>
    <x:s v="North America"/>
    <x:d v="2025-09-20T00:00:00"/>
    <x:s v="No"/>
    <x:m/>
    <x:s v=""/>
    <x:n v="0"/>
    <x:n v="8"/>
    <x:n v="91"/>
    <x:s v="No"/>
    <x:n v="0"/>
  </x:r>
  <x:r>
    <x:s v="CUST-0309"/>
    <x:x v="1"/>
    <x:x v="1"/>
    <x:s v="Manufacturing"/>
    <x:s v="1-10"/>
    <x:n v="7"/>
    <x:n v="46.83"/>
    <x:s v="Paid Ads"/>
    <x:s v="North America"/>
    <x:d v="2023-09-03T00:00:00"/>
    <x:s v="Yes"/>
    <x:d v="2024-01-09T00:00:00"/>
    <x:s v="Poor Support"/>
    <x:n v="5"/>
    <x:n v="2"/>
    <x:n v="41"/>
    <x:s v="No"/>
    <x:n v="1"/>
  </x:r>
  <x:r>
    <x:s v="CUST-0310"/>
    <x:x v="1"/>
    <x:x v="0"/>
    <x:s v="Legal"/>
    <x:s v="201-500"/>
    <x:n v="71"/>
    <x:n v="333.5"/>
    <x:s v="Direct Sales"/>
    <x:s v="Europe"/>
    <x:d v="2023-07-08T00:00:00"/>
    <x:s v="Yes"/>
    <x:d v="2024-02-11T00:00:00"/>
    <x:s v="No Longer Needed"/>
    <x:n v="1"/>
    <x:n v="3"/>
    <x:n v="14"/>
    <x:s v="No"/>
    <x:n v="1"/>
  </x:r>
  <x:r>
    <x:s v="CUST-0311"/>
    <x:x v="0"/>
    <x:x v="1"/>
    <x:s v="Finance"/>
    <x:s v="500+"/>
    <x:n v="290"/>
    <x:n v="2978.1"/>
    <x:s v="Referral"/>
    <x:s v="North America"/>
    <x:d v="2024-02-15T00:00:00"/>
    <x:s v="No"/>
    <x:m/>
    <x:s v=""/>
    <x:n v="9"/>
    <x:n v="9"/>
    <x:n v="39"/>
    <x:s v="No"/>
    <x:n v="0"/>
  </x:r>
  <x:r>
    <x:s v="CUST-0312"/>
    <x:x v="1"/>
    <x:x v="1"/>
    <x:s v="Real Estate"/>
    <x:s v="201-500"/>
    <x:n v="36"/>
    <x:n v="154.06"/>
    <x:s v="Partner"/>
    <x:s v="Asia Pacific"/>
    <x:d v="2024-03-06T00:00:00"/>
    <x:s v="Yes"/>
    <x:d v="2024-09-01T00:00:00"/>
    <x:s v="Switched Competitor"/>
    <x:n v="4"/>
    <x:n v="5"/>
    <x:n v="42"/>
    <x:s v="No"/>
    <x:n v="1"/>
  </x:r>
  <x:r>
    <x:s v="CUST-0313"/>
    <x:x v="1"/>
    <x:x v="0"/>
    <x:s v="Education"/>
    <x:s v="51-200"/>
    <x:n v="74"/>
    <x:n v="346.55"/>
    <x:s v="Organic Search"/>
    <x:s v="Europe"/>
    <x:d v="2025-01-22T00:00:00"/>
    <x:s v="No"/>
    <x:m/>
    <x:s v=""/>
    <x:n v="3"/>
    <x:n v="4"/>
    <x:n v="18"/>
    <x:s v="No"/>
    <x:n v="0"/>
  </x:r>
  <x:r>
    <x:s v="CUST-0314"/>
    <x:x v="1"/>
    <x:x v="1"/>
    <x:s v="Media"/>
    <x:s v="1-10"/>
    <x:n v="8"/>
    <x:n v="50.53"/>
    <x:s v="Referral"/>
    <x:s v="Latin America"/>
    <x:d v="2024-10-07T00:00:00"/>
    <x:s v="No"/>
    <x:m/>
    <x:s v=""/>
    <x:n v="3"/>
    <x:n v="2"/>
    <x:n v="22"/>
    <x:s v="No"/>
    <x:n v="0"/>
  </x:r>
  <x:r>
    <x:s v="CUST-0315"/>
    <x:x v="1"/>
    <x:x v="0"/>
    <x:s v="Education"/>
    <x:s v="11-50"/>
    <x:n v="13"/>
    <x:n v="81.2"/>
    <x:s v="Paid Ads"/>
    <x:s v="Europe"/>
    <x:d v="2025-03-23T00:00:00"/>
    <x:s v="Yes"/>
    <x:d v="2025-09-20T00:00:00"/>
    <x:s v="Company Closed"/>
    <x:n v="12"/>
    <x:n v="3"/>
    <x:n v="29"/>
    <x:s v="No"/>
    <x:n v="1"/>
  </x:r>
  <x:r>
    <x:s v="CUST-0316"/>
    <x:x v="0"/>
    <x:x v="1"/>
    <x:s v="Finance"/>
    <x:s v="11-50"/>
    <x:n v="33"/>
    <x:n v="389.47"/>
    <x:s v="Partner"/>
    <x:s v="Latin America"/>
    <x:d v="2022-10-01T00:00:00"/>
    <x:s v="Yes"/>
    <x:d v="2025-09-06T00:00:00"/>
    <x:s v="Poor Support"/>
    <x:n v="11"/>
    <x:n v="6"/>
    <x:n v="37"/>
    <x:s v="No"/>
    <x:n v="1"/>
  </x:r>
  <x:r>
    <x:s v="CUST-0317"/>
    <x:x v="1"/>
    <x:x v="0"/>
    <x:s v="Finance"/>
    <x:s v="11-50"/>
    <x:n v="31"/>
    <x:n v="159.5"/>
    <x:s v="Partner"/>
    <x:s v="North America"/>
    <x:d v="2024-12-09T00:00:00"/>
    <x:s v="Yes"/>
    <x:d v="2025-04-11T00:00:00"/>
    <x:s v="Price Too High"/>
    <x:n v="6"/>
    <x:n v="3"/>
    <x:n v="26"/>
    <x:s v="No"/>
    <x:n v="1"/>
  </x:r>
  <x:r>
    <x:s v="CUST-0318"/>
    <x:x v="1"/>
    <x:x v="0"/>
    <x:s v="Retail"/>
    <x:s v="1-10"/>
    <x:n v="1"/>
    <x:n v="29"/>
    <x:s v="Social Media"/>
    <x:s v="Latin America"/>
    <x:d v="2025-02-06T00:00:00"/>
    <x:s v="Yes"/>
    <x:d v="2025-10-26T00:00:00"/>
    <x:s v="Company Closed"/>
    <x:n v="12"/>
    <x:n v="3"/>
    <x:n v="30"/>
    <x:s v="No"/>
    <x:n v="1"/>
  </x:r>
  <x:r>
    <x:s v="CUST-0319"/>
    <x:x v="1"/>
    <x:x v="1"/>
    <x:s v="Legal"/>
    <x:s v="51-200"/>
    <x:n v="40"/>
    <x:n v="168.85"/>
    <x:s v="Organic Search"/>
    <x:s v="Europe"/>
    <x:d v="2022-07-16T00:00:00"/>
    <x:s v="Yes"/>
    <x:d v="2022-10-13T00:00:00"/>
    <x:s v="Switched Competitor"/>
    <x:n v="14"/>
    <x:n v="4"/>
    <x:n v="38"/>
    <x:s v="No"/>
    <x:n v="1"/>
  </x:r>
  <x:r>
    <x:s v="CUST-0320"/>
    <x:x v="0"/>
    <x:x v="1"/>
    <x:s v="Legal"/>
    <x:s v="51-200"/>
    <x:n v="20"/>
    <x:n v="258.53"/>
    <x:s v="Organic Search"/>
    <x:s v="Europe"/>
    <x:d v="2023-12-19T00:00:00"/>
    <x:s v="No"/>
    <x:m/>
    <x:s v=""/>
    <x:n v="10"/>
    <x:n v="9"/>
    <x:n v="34"/>
    <x:s v="No"/>
    <x:n v="0"/>
  </x:r>
  <x:r>
    <x:s v="CUST-0321"/>
    <x:x v="0"/>
    <x:x v="0"/>
    <x:s v="Education"/>
    <x:s v="1-10"/>
    <x:n v="2"/>
    <x:n v="90.85"/>
    <x:s v="Organic Search"/>
    <x:s v="North America"/>
    <x:d v="2025-03-11T00:00:00"/>
    <x:s v="Yes"/>
    <x:d v="2025-04-30T00:00:00"/>
    <x:s v="Company Closed"/>
    <x:n v="8"/>
    <x:n v="3"/>
    <x:n v="15"/>
    <x:s v="No"/>
    <x:n v="1"/>
  </x:r>
  <x:r>
    <x:s v="CUST-0322"/>
    <x:x v="0"/>
    <x:x v="1"/>
    <x:s v="Consulting"/>
    <x:s v="51-200"/>
    <x:n v="34"/>
    <x:n v="399.54"/>
    <x:s v="Social Media"/>
    <x:s v="North America"/>
    <x:d v="2024-10-14T00:00:00"/>
    <x:s v="Yes"/>
    <x:d v="2024-12-11T00:00:00"/>
    <x:s v="Missing Features"/>
    <x:n v="11"/>
    <x:n v="6"/>
    <x:n v="12"/>
    <x:s v="No"/>
    <x:n v="1"/>
  </x:r>
  <x:r>
    <x:s v="CUST-0323"/>
    <x:x v="2"/>
    <x:x v="0"/>
    <x:s v="Media"/>
    <x:s v="1-10"/>
    <x:n v="7"/>
    <x:n v="378.1"/>
    <x:s v="Partner"/>
    <x:s v="Asia Pacific"/>
    <x:d v="2023-10-18T00:00:00"/>
    <x:s v="No"/>
    <x:m/>
    <x:s v=""/>
    <x:n v="5"/>
    <x:n v="9"/>
    <x:n v="55"/>
    <x:s v="No"/>
    <x:n v="0"/>
  </x:r>
  <x:r>
    <x:s v="CUST-0324"/>
    <x:x v="1"/>
    <x:x v="1"/>
    <x:s v="Consulting"/>
    <x:s v="51-200"/>
    <x:n v="24"/>
    <x:n v="109.69"/>
    <x:s v="Organic Search"/>
    <x:s v="North America"/>
    <x:d v="2025-11-12T00:00:00"/>
    <x:s v="No"/>
    <x:m/>
    <x:s v=""/>
    <x:n v="7"/>
    <x:n v="2"/>
    <x:n v="90"/>
    <x:s v="No"/>
    <x:n v="0"/>
  </x:r>
  <x:r>
    <x:s v="CUST-0325"/>
    <x:x v="0"/>
    <x:x v="1"/>
    <x:s v="Technology"/>
    <x:s v="201-500"/>
    <x:n v="105"/>
    <x:n v="1114.69"/>
    <x:s v="Paid Ads"/>
    <x:s v="Europe"/>
    <x:d v="2022-03-28T00:00:00"/>
    <x:s v="Yes"/>
    <x:d v="2023-09-25T00:00:00"/>
    <x:s v="Budget Cuts"/>
    <x:n v="2"/>
    <x:n v="1"/>
    <x:n v="15"/>
    <x:s v="No"/>
    <x:n v="1"/>
  </x:r>
  <x:r>
    <x:s v="CUST-0326"/>
    <x:x v="2"/>
    <x:x v="1"/>
    <x:s v="Education"/>
    <x:s v="11-50"/>
    <x:n v="10"/>
    <x:n v="397.5"/>
    <x:s v="Partner"/>
    <x:s v="North America"/>
    <x:d v="2025-01-19T00:00:00"/>
    <x:s v="No"/>
    <x:m/>
    <x:s v=""/>
    <x:n v="6"/>
    <x:n v="9"/>
    <x:n v="77"/>
    <x:s v="Yes"/>
    <x:n v="0"/>
  </x:r>
  <x:r>
    <x:s v="CUST-0327"/>
    <x:x v="0"/>
    <x:x v="0"/>
    <x:s v="Consulting"/>
    <x:s v="11-50"/>
    <x:n v="15"/>
    <x:n v="244.9"/>
    <x:s v="Partner"/>
    <x:s v="Asia Pacific"/>
    <x:d v="2022-05-04T00:00:00"/>
    <x:s v="Yes"/>
    <x:d v="2022-06-25T00:00:00"/>
    <x:s v="Company Closed"/>
    <x:n v="14"/>
    <x:n v="1"/>
    <x:n v="15"/>
    <x:s v="No"/>
    <x:n v="1"/>
  </x:r>
  <x:r>
    <x:s v="CUST-0328"/>
    <x:x v="0"/>
    <x:x v="0"/>
    <x:s v="Technology"/>
    <x:s v="11-50"/>
    <x:n v="13"/>
    <x:n v="221.2"/>
    <x:s v="Paid Ads"/>
    <x:s v="Europe"/>
    <x:d v="2024-08-30T00:00:00"/>
    <x:s v="No"/>
    <x:m/>
    <x:s v=""/>
    <x:n v="2"/>
    <x:n v="4"/>
    <x:n v="71"/>
    <x:s v="No"/>
    <x:n v="0"/>
  </x:r>
  <x:r>
    <x:s v="CUST-0329"/>
    <x:x v="1"/>
    <x:x v="0"/>
    <x:s v="Legal"/>
    <x:s v="500+"/>
    <x:n v="297"/>
    <x:n v="1316.6"/>
    <x:s v="Partner"/>
    <x:s v="Latin America"/>
    <x:d v="2025-12-11T00:00:00"/>
    <x:s v="No"/>
    <x:m/>
    <x:s v=""/>
    <x:n v="7"/>
    <x:n v="4"/>
    <x:n v="44"/>
    <x:s v="No"/>
    <x:n v="0"/>
  </x:r>
  <x:r>
    <x:s v="CUST-0330"/>
    <x:x v="0"/>
    <x:x v="0"/>
    <x:s v="Retail"/>
    <x:s v="51-200"/>
    <x:n v="51"/>
    <x:n v="671.5"/>
    <x:s v="Direct Sales"/>
    <x:s v="Asia Pacific"/>
    <x:d v="2024-03-17T00:00:00"/>
    <x:s v="No"/>
    <x:m/>
    <x:s v=""/>
    <x:n v="7"/>
    <x:n v="4"/>
    <x:n v="84"/>
    <x:s v="No"/>
    <x:n v="0"/>
  </x:r>
  <x:r>
    <x:s v="CUST-0331"/>
    <x:x v="0"/>
    <x:x v="0"/>
    <x:s v="Education"/>
    <x:s v="51-200"/>
    <x:n v="30"/>
    <x:n v="422.65"/>
    <x:s v="Social Media"/>
    <x:s v="North America"/>
    <x:d v="2025-06-13T00:00:00"/>
    <x:s v="No"/>
    <x:m/>
    <x:s v=""/>
    <x:n v="11"/>
    <x:n v="5"/>
    <x:n v="60"/>
    <x:s v="No"/>
    <x:n v="0"/>
  </x:r>
  <x:r>
    <x:s v="CUST-0332"/>
    <x:x v="0"/>
    <x:x v="0"/>
    <x:s v="Finance"/>
    <x:s v="51-200"/>
    <x:n v="77"/>
    <x:n v="979.6"/>
    <x:s v="Paid Ads"/>
    <x:s v="North America"/>
    <x:d v="2025-03-08T00:00:00"/>
    <x:s v="Yes"/>
    <x:d v="2025-06-10T00:00:00"/>
    <x:s v="Budget Cuts"/>
    <x:n v="3"/>
    <x:n v="2"/>
    <x:n v="40"/>
    <x:s v="No"/>
    <x:n v="1"/>
  </x:r>
  <x:r>
    <x:s v="CUST-0333"/>
    <x:x v="0"/>
    <x:x v="1"/>
    <x:s v="Education"/>
    <x:s v="51-200"/>
    <x:n v="18"/>
    <x:n v="238.38"/>
    <x:s v="Partner"/>
    <x:s v="Asia Pacific"/>
    <x:d v="2024-04-05T00:00:00"/>
    <x:s v="Yes"/>
    <x:d v="2025-10-06T00:00:00"/>
    <x:s v="Missing Features"/>
    <x:n v="14"/>
    <x:n v="1"/>
    <x:n v="33"/>
    <x:s v="No"/>
    <x:n v="1"/>
  </x:r>
  <x:r>
    <x:s v="CUST-0334"/>
    <x:x v="1"/>
    <x:x v="1"/>
    <x:s v="Finance"/>
    <x:s v="201-500"/>
    <x:n v="85"/>
    <x:n v="335.24"/>
    <x:s v="Organic Search"/>
    <x:s v="Europe"/>
    <x:d v="2023-10-13T00:00:00"/>
    <x:s v="Yes"/>
    <x:d v="2024-01-22T00:00:00"/>
    <x:s v="Budget Cuts"/>
    <x:n v="8"/>
    <x:n v="1"/>
    <x:n v="35"/>
    <x:s v="No"/>
    <x:n v="1"/>
  </x:r>
  <x:r>
    <x:s v="CUST-0335"/>
    <x:x v="0"/>
    <x:x v="0"/>
    <x:s v="Consulting"/>
    <x:s v="11-50"/>
    <x:n v="18"/>
    <x:n v="280.45"/>
    <x:s v="Social Media"/>
    <x:s v="North America"/>
    <x:d v="2022-09-07T00:00:00"/>
    <x:s v="Yes"/>
    <x:d v="2024-03-13T00:00:00"/>
    <x:s v="No Longer Needed"/>
    <x:n v="10"/>
    <x:n v="1"/>
    <x:n v="27"/>
    <x:s v="No"/>
    <x:n v="1"/>
  </x:r>
  <x:r>
    <x:s v="CUST-0336"/>
    <x:x v="2"/>
    <x:x v="1"/>
    <x:s v="Education"/>
    <x:s v="1-10"/>
    <x:n v="5"/>
    <x:n v="270.64"/>
    <x:s v="Organic Search"/>
    <x:s v="Europe"/>
    <x:d v="2023-07-14T00:00:00"/>
    <x:s v="Yes"/>
    <x:d v="2025-02-15T00:00:00"/>
    <x:s v="Company Closed"/>
    <x:n v="7"/>
    <x:n v="1"/>
    <x:n v="36"/>
    <x:s v="No"/>
    <x:n v="1"/>
  </x:r>
  <x:r>
    <x:s v="CUST-0337"/>
    <x:x v="1"/>
    <x:x v="0"/>
    <x:s v="Media"/>
    <x:s v="51-200"/>
    <x:n v="65"/>
    <x:n v="307.4"/>
    <x:s v="Paid Ads"/>
    <x:s v="Latin America"/>
    <x:d v="2022-11-22T00:00:00"/>
    <x:s v="Yes"/>
    <x:d v="2023-03-19T00:00:00"/>
    <x:s v="Price Too High"/>
    <x:n v="3"/>
    <x:n v="1"/>
    <x:n v="45"/>
    <x:s v="No"/>
    <x:n v="1"/>
  </x:r>
  <x:r>
    <x:s v="CUST-0338"/>
    <x:x v="1"/>
    <x:x v="1"/>
    <x:s v="Technology"/>
    <x:s v="11-50"/>
    <x:n v="26"/>
    <x:n v="117.09"/>
    <x:s v="Partner"/>
    <x:s v="North America"/>
    <x:d v="2024-01-29T00:00:00"/>
    <x:s v="No"/>
    <x:m/>
    <x:s v=""/>
    <x:n v="4"/>
    <x:n v="8"/>
    <x:n v="42"/>
    <x:s v="Yes"/>
    <x:n v="0"/>
  </x:r>
  <x:r>
    <x:s v="CUST-0339"/>
    <x:x v="1"/>
    <x:x v="0"/>
    <x:s v="Media"/>
    <x:s v="1-10"/>
    <x:n v="4"/>
    <x:n v="42.05"/>
    <x:s v="Organic Search"/>
    <x:s v="North America"/>
    <x:d v="2024-05-28T00:00:00"/>
    <x:s v="Yes"/>
    <x:d v="2025-01-20T00:00:00"/>
    <x:s v="Price Too High"/>
    <x:n v="0"/>
    <x:n v="4"/>
    <x:n v="13"/>
    <x:s v="No"/>
    <x:n v="1"/>
  </x:r>
  <x:r>
    <x:s v="CUST-0340"/>
    <x:x v="1"/>
    <x:x v="1"/>
    <x:s v="Education"/>
    <x:s v="201-500"/>
    <x:n v="140"/>
    <x:n v="538.6"/>
    <x:s v="Organic Search"/>
    <x:s v="Europe"/>
    <x:d v="2022-06-30T00:00:00"/>
    <x:s v="Yes"/>
    <x:d v="2022-10-01T00:00:00"/>
    <x:s v="Budget Cuts"/>
    <x:n v="14"/>
    <x:n v="2"/>
    <x:n v="43"/>
    <x:s v="No"/>
    <x:n v="1"/>
  </x:r>
  <x:r>
    <x:s v="CUST-0341"/>
    <x:x v="1"/>
    <x:x v="0"/>
    <x:s v="Real Estate"/>
    <x:s v="201-500"/>
    <x:n v="41"/>
    <x:n v="203"/>
    <x:s v="Paid Ads"/>
    <x:s v="North America"/>
    <x:d v="2025-03-19T00:00:00"/>
    <x:s v="Yes"/>
    <x:d v="2025-06-24T00:00:00"/>
    <x:s v="No Longer Needed"/>
    <x:n v="12"/>
    <x:n v="1"/>
    <x:n v="40"/>
    <x:s v="No"/>
    <x:n v="1"/>
  </x:r>
  <x:r>
    <x:s v="CUST-0342"/>
    <x:x v="1"/>
    <x:x v="1"/>
    <x:s v="Retail"/>
    <x:s v="201-500"/>
    <x:n v="78"/>
    <x:n v="309.36"/>
    <x:s v="Paid Ads"/>
    <x:s v="Europe"/>
    <x:d v="2024-08-15T00:00:00"/>
    <x:s v="Yes"/>
    <x:d v="2025-08-15T00:00:00"/>
    <x:s v="Switched Competitor"/>
    <x:n v="3"/>
    <x:n v="1"/>
    <x:n v="35"/>
    <x:s v="No"/>
    <x:n v="1"/>
  </x:r>
  <x:r>
    <x:s v="CUST-0343"/>
    <x:x v="2"/>
    <x:x v="1"/>
    <x:s v="Legal"/>
    <x:s v="11-50"/>
    <x:n v="12"/>
    <x:n v="448.25"/>
    <x:s v="Referral"/>
    <x:s v="Latin America"/>
    <x:d v="2023-05-23T00:00:00"/>
    <x:s v="Yes"/>
    <x:d v="2025-04-18T00:00:00"/>
    <x:s v="No Longer Needed"/>
    <x:n v="12"/>
    <x:n v="6"/>
    <x:n v="19"/>
    <x:s v="No"/>
    <x:n v="1"/>
  </x:r>
  <x:r>
    <x:s v="CUST-0344"/>
    <x:x v="0"/>
    <x:x v="0"/>
    <x:s v="Retail"/>
    <x:s v="11-50"/>
    <x:n v="32"/>
    <x:n v="446.35"/>
    <x:s v="Referral"/>
    <x:s v="Asia Pacific"/>
    <x:d v="2022-05-22T00:00:00"/>
    <x:s v="Yes"/>
    <x:d v="2023-06-15T00:00:00"/>
    <x:s v="Company Closed"/>
    <x:n v="3"/>
    <x:n v="3"/>
    <x:n v="29"/>
    <x:s v="No"/>
    <x:n v="1"/>
  </x:r>
  <x:r>
    <x:s v="CUST-0345"/>
    <x:x v="2"/>
    <x:x v="1"/>
    <x:s v="Education"/>
    <x:s v="1-10"/>
    <x:n v="4"/>
    <x:n v="245.27"/>
    <x:s v="Paid Ads"/>
    <x:s v="Europe"/>
    <x:d v="2022-09-26T00:00:00"/>
    <x:s v="No"/>
    <x:m/>
    <x:s v=""/>
    <x:n v="4"/>
    <x:n v="2"/>
    <x:n v="93"/>
    <x:s v="No"/>
    <x:n v="0"/>
  </x:r>
  <x:r>
    <x:s v="CUST-0346"/>
    <x:x v="2"/>
    <x:x v="0"/>
    <x:s v="Education"/>
    <x:s v="201-500"/>
    <x:n v="126"/>
    <x:n v="3930.25"/>
    <x:s v="Paid Ads"/>
    <x:s v="North America"/>
    <x:d v="2025-11-18T00:00:00"/>
    <x:s v="No"/>
    <x:m/>
    <x:s v=""/>
    <x:n v="9"/>
    <x:n v="8"/>
    <x:n v="20"/>
    <x:s v="No"/>
    <x:n v="0"/>
  </x:r>
  <x:r>
    <x:s v="CUST-0347"/>
    <x:x v="0"/>
    <x:x v="1"/>
    <x:s v="Media"/>
    <x:s v="51-200"/>
    <x:n v="17"/>
    <x:n v="228.31"/>
    <x:s v="Organic Search"/>
    <x:s v="Europe"/>
    <x:d v="2025-09-25T00:00:00"/>
    <x:s v="No"/>
    <x:m/>
    <x:s v=""/>
    <x:n v="5"/>
    <x:n v="4"/>
    <x:n v="21"/>
    <x:s v="No"/>
    <x:n v="0"/>
  </x:r>
  <x:r>
    <x:s v="CUST-0348"/>
    <x:x v="2"/>
    <x:x v="0"/>
    <x:s v="Technology"/>
    <x:s v="51-200"/>
    <x:n v="73"/>
    <x:n v="2348.2"/>
    <x:s v="Organic Search"/>
    <x:s v="Asia Pacific"/>
    <x:d v="2025-06-05T00:00:00"/>
    <x:s v="No"/>
    <x:m/>
    <x:s v=""/>
    <x:n v="9"/>
    <x:n v="5"/>
    <x:n v="74"/>
    <x:s v="No"/>
    <x:n v="0"/>
  </x:r>
  <x:r>
    <x:s v="CUST-0349"/>
    <x:x v="2"/>
    <x:x v="1"/>
    <x:s v="Legal"/>
    <x:s v="11-50"/>
    <x:n v="29"/>
    <x:n v="879.58"/>
    <x:s v="Paid Ads"/>
    <x:s v="North America"/>
    <x:d v="2024-06-14T00:00:00"/>
    <x:s v="No"/>
    <x:m/>
    <x:s v=""/>
    <x:n v="7"/>
    <x:n v="10"/>
    <x:n v="33"/>
    <x:s v="No"/>
    <x:n v="0"/>
  </x:r>
  <x:r>
    <x:s v="CUST-0350"/>
    <x:x v="0"/>
    <x:x v="0"/>
    <x:s v="Media"/>
    <x:s v="51-200"/>
    <x:n v="59"/>
    <x:n v="766.3"/>
    <x:s v="Social Media"/>
    <x:s v="North America"/>
    <x:d v="2022-02-27T00:00:00"/>
    <x:s v="Yes"/>
    <x:d v="2022-10-03T00:00:00"/>
    <x:s v="Switched Competitor"/>
    <x:n v="6"/>
    <x:n v="2"/>
    <x:n v="21"/>
    <x:s v="No"/>
    <x:n v="1"/>
  </x:r>
  <x:r>
    <x:s v="CUST-0351"/>
    <x:x v="1"/>
    <x:x v="1"/>
    <x:s v="Retail"/>
    <x:s v="1-10"/>
    <x:n v="4"/>
    <x:n v="35.74"/>
    <x:s v="Paid Ads"/>
    <x:s v="North America"/>
    <x:d v="2024-07-21T00:00:00"/>
    <x:s v="Yes"/>
    <x:d v="2024-12-03T00:00:00"/>
    <x:s v="Missing Features"/>
    <x:n v="8"/>
    <x:n v="6"/>
    <x:n v="47"/>
    <x:s v="No"/>
    <x:n v="1"/>
  </x:r>
  <x:r>
    <x:s v="CUST-0352"/>
    <x:x v="1"/>
    <x:x v="0"/>
    <x:s v="Education"/>
    <x:s v="500+"/>
    <x:n v="130"/>
    <x:n v="590.15"/>
    <x:s v="Partner"/>
    <x:s v="Europe"/>
    <x:d v="2023-07-18T00:00:00"/>
    <x:s v="Yes"/>
    <x:d v="2024-05-11T00:00:00"/>
    <x:s v="Budget Cuts"/>
    <x:n v="5"/>
    <x:n v="4"/>
    <x:n v="23"/>
    <x:s v="No"/>
    <x:n v="1"/>
  </x:r>
  <x:r>
    <x:s v="CUST-0353"/>
    <x:x v="2"/>
    <x:x v="1"/>
    <x:s v="Healthcare"/>
    <x:s v="201-500"/>
    <x:n v="61"/>
    <x:n v="1691.5"/>
    <x:s v="Social Media"/>
    <x:s v="Europe"/>
    <x:d v="2025-04-02T00:00:00"/>
    <x:s v="Yes"/>
    <x:d v="2025-05-16T00:00:00"/>
    <x:s v="Missing Features"/>
    <x:n v="15"/>
    <x:n v="5"/>
    <x:n v="33"/>
    <x:s v="No"/>
    <x:n v="1"/>
  </x:r>
  <x:r>
    <x:s v="CUST-0354"/>
    <x:x v="2"/>
    <x:x v="1"/>
    <x:s v="Finance"/>
    <x:s v="1-10"/>
    <x:n v="8"/>
    <x:n v="346.76"/>
    <x:s v="Partner"/>
    <x:s v="North America"/>
    <x:d v="2022-06-25T00:00:00"/>
    <x:s v="Yes"/>
    <x:d v="2024-12-29T00:00:00"/>
    <x:s v="Poor Support"/>
    <x:n v="10"/>
    <x:n v="6"/>
    <x:n v="30"/>
    <x:s v="No"/>
    <x:n v="1"/>
  </x:r>
  <x:r>
    <x:s v="CUST-0355"/>
    <x:x v="1"/>
    <x:x v="1"/>
    <x:s v="Healthcare"/>
    <x:s v="51-200"/>
    <x:n v="43"/>
    <x:n v="179.94"/>
    <x:s v="Organic Search"/>
    <x:s v="North America"/>
    <x:d v="2024-10-27T00:00:00"/>
    <x:s v="No"/>
    <x:m/>
    <x:s v=""/>
    <x:n v="3"/>
    <x:n v="3"/>
    <x:n v="63"/>
    <x:s v="No"/>
    <x:n v="0"/>
  </x:r>
  <x:r>
    <x:s v="CUST-0356"/>
    <x:x v="1"/>
    <x:x v="1"/>
    <x:s v="Media"/>
    <x:s v="11-50"/>
    <x:n v="6"/>
    <x:n v="43.14"/>
    <x:s v="Organic Search"/>
    <x:s v="North America"/>
    <x:d v="2022-09-13T00:00:00"/>
    <x:s v="Yes"/>
    <x:d v="2022-11-05T00:00:00"/>
    <x:s v="Poor Support"/>
    <x:n v="15"/>
    <x:n v="3"/>
    <x:n v="46"/>
    <x:s v="No"/>
    <x:n v="1"/>
  </x:r>
  <x:r>
    <x:s v="CUST-0357"/>
    <x:x v="1"/>
    <x:x v="1"/>
    <x:s v="Healthcare"/>
    <x:s v="201-500"/>
    <x:n v="92"/>
    <x:n v="361.12"/>
    <x:s v="Organic Search"/>
    <x:s v="North America"/>
    <x:d v="2023-01-23T00:00:00"/>
    <x:s v="Yes"/>
    <x:d v="2023-06-03T00:00:00"/>
    <x:s v="Missing Features"/>
    <x:n v="13"/>
    <x:n v="1"/>
    <x:n v="38"/>
    <x:s v="No"/>
    <x:n v="1"/>
  </x:r>
  <x:r>
    <x:s v="CUST-0358"/>
    <x:x v="1"/>
    <x:x v="1"/>
    <x:s v="Consulting"/>
    <x:s v="51-200"/>
    <x:n v="30"/>
    <x:n v="131.88"/>
    <x:s v="Referral"/>
    <x:s v="Europe"/>
    <x:d v="2025-02-24T00:00:00"/>
    <x:s v="No"/>
    <x:m/>
    <x:s v=""/>
    <x:n v="1"/>
    <x:n v="7"/>
    <x:n v="39"/>
    <x:s v="No"/>
    <x:n v="0"/>
  </x:r>
  <x:r>
    <x:s v="CUST-0359"/>
    <x:x v="2"/>
    <x:x v="0"/>
    <x:s v="Healthcare"/>
    <x:s v="201-500"/>
    <x:n v="118"/>
    <x:n v="3691.45"/>
    <x:s v="Direct Sales"/>
    <x:s v="Asia Pacific"/>
    <x:d v="2025-07-03T00:00:00"/>
    <x:s v="No"/>
    <x:m/>
    <x:s v=""/>
    <x:n v="10"/>
    <x:n v="5"/>
    <x:n v="87"/>
    <x:s v="No"/>
    <x:n v="0"/>
  </x:r>
  <x:r>
    <x:s v="CUST-0360"/>
    <x:x v="1"/>
    <x:x v="1"/>
    <x:s v="Consulting"/>
    <x:s v="1-10"/>
    <x:n v="2"/>
    <x:n v="28.35"/>
    <x:s v="Social Media"/>
    <x:s v="Europe"/>
    <x:d v="2022-08-07T00:00:00"/>
    <x:s v="No"/>
    <x:m/>
    <x:s v=""/>
    <x:n v="11"/>
    <x:n v="6"/>
    <x:n v="20"/>
    <x:s v="No"/>
    <x:n v="0"/>
  </x:r>
  <x:r>
    <x:s v="CUST-0361"/>
    <x:x v="0"/>
    <x:x v="1"/>
    <x:s v="Retail"/>
    <x:s v="1-10"/>
    <x:n v="7"/>
    <x:n v="127.59"/>
    <x:s v="Paid Ads"/>
    <x:s v="Europe"/>
    <x:d v="2024-06-08T00:00:00"/>
    <x:s v="No"/>
    <x:m/>
    <x:s v=""/>
    <x:n v="12"/>
    <x:n v="7"/>
    <x:n v="31"/>
    <x:s v="No"/>
    <x:n v="0"/>
  </x:r>
  <x:r>
    <x:s v="CUST-0362"/>
    <x:x v="3"/>
    <x:x v="0"/>
    <x:s v="Healthcare"/>
    <x:s v="51-200"/>
    <x:n v="59"/>
    <x:n v="4840.3"/>
    <x:s v="Organic Search"/>
    <x:s v="North America"/>
    <x:d v="2023-09-21T00:00:00"/>
    <x:s v="No"/>
    <x:m/>
    <x:s v=""/>
    <x:n v="0"/>
    <x:n v="3"/>
    <x:n v="90"/>
    <x:s v="No"/>
    <x:n v="0"/>
  </x:r>
  <x:r>
    <x:s v="CUST-0363"/>
    <x:x v="3"/>
    <x:x v="0"/>
    <x:s v="Technology"/>
    <x:s v="1-10"/>
    <x:n v="7"/>
    <x:n v="948.1"/>
    <x:s v="Social Media"/>
    <x:s v="North America"/>
    <x:d v="2024-03-06T00:00:00"/>
    <x:s v="No"/>
    <x:m/>
    <x:s v=""/>
    <x:n v="2"/>
    <x:n v="6"/>
    <x:n v="41"/>
    <x:s v="No"/>
    <x:n v="0"/>
  </x:r>
  <x:r>
    <x:s v="CUST-0364"/>
    <x:x v="2"/>
    <x:x v="0"/>
    <x:s v="Legal"/>
    <x:s v="11-50"/>
    <x:n v="17"/>
    <x:n v="676.6"/>
    <x:s v="Partner"/>
    <x:s v="North America"/>
    <x:d v="2022-04-05T00:00:00"/>
    <x:s v="Yes"/>
    <x:d v="2025-09-20T00:00:00"/>
    <x:s v="Price Too High"/>
    <x:n v="7"/>
    <x:n v="4"/>
    <x:n v="13"/>
    <x:s v="No"/>
    <x:n v="1"/>
  </x:r>
  <x:r>
    <x:s v="CUST-0365"/>
    <x:x v="1"/>
    <x:x v="0"/>
    <x:s v="Consulting"/>
    <x:s v="11-50"/>
    <x:n v="14"/>
    <x:n v="85.55"/>
    <x:s v="Partner"/>
    <x:s v="Latin America"/>
    <x:d v="2024-03-11T00:00:00"/>
    <x:s v="Yes"/>
    <x:d v="2024-06-07T00:00:00"/>
    <x:s v="Switched Competitor"/>
    <x:n v="9"/>
    <x:n v="2"/>
    <x:n v="14"/>
    <x:s v="No"/>
    <x:n v="1"/>
  </x:r>
  <x:r>
    <x:s v="CUST-0366"/>
    <x:x v="0"/>
    <x:x v="0"/>
    <x:s v="Education"/>
    <x:s v="51-200"/>
    <x:n v="52"/>
    <x:n v="683.35"/>
    <x:s v="Paid Ads"/>
    <x:s v="North America"/>
    <x:d v="2025-09-28T00:00:00"/>
    <x:s v="No"/>
    <x:m/>
    <x:s v=""/>
    <x:n v="11"/>
    <x:n v="8"/>
    <x:n v="17"/>
    <x:s v="No"/>
    <x:n v="0"/>
  </x:r>
  <x:r>
    <x:s v="CUST-0367"/>
    <x:x v="1"/>
    <x:x v="1"/>
    <x:s v="Consulting"/>
    <x:s v="1-10"/>
    <x:n v="5"/>
    <x:n v="39.44"/>
    <x:s v="Referral"/>
    <x:s v="North America"/>
    <x:d v="2023-07-29T00:00:00"/>
    <x:s v="No"/>
    <x:m/>
    <x:s v=""/>
    <x:n v="1"/>
    <x:n v="3"/>
    <x:n v="80"/>
    <x:s v="No"/>
    <x:n v="0"/>
  </x:r>
  <x:r>
    <x:s v="CUST-0368"/>
    <x:x v="0"/>
    <x:x v="1"/>
    <x:s v="Media"/>
    <x:s v="11-50"/>
    <x:n v="25"/>
    <x:n v="308.89"/>
    <x:s v="Partner"/>
    <x:s v="North America"/>
    <x:d v="2024-05-17T00:00:00"/>
    <x:s v="No"/>
    <x:m/>
    <x:s v=""/>
    <x:n v="3"/>
    <x:n v="6"/>
    <x:n v="92"/>
    <x:s v="No"/>
    <x:n v="0"/>
  </x:r>
  <x:r>
    <x:s v="CUST-0369"/>
    <x:x v="3"/>
    <x:x v="0"/>
    <x:s v="Retail"/>
    <x:s v="11-50"/>
    <x:n v="25"/>
    <x:n v="2295.4"/>
    <x:s v="Direct Sales"/>
    <x:s v="North America"/>
    <x:d v="2025-03-09T00:00:00"/>
    <x:s v="Yes"/>
    <x:d v="2025-04-28T00:00:00"/>
    <x:s v="Switched Competitor"/>
    <x:n v="9"/>
    <x:n v="6"/>
    <x:n v="37"/>
    <x:s v="No"/>
    <x:n v="1"/>
  </x:r>
  <x:r>
    <x:s v="CUST-0370"/>
    <x:x v="1"/>
    <x:x v="0"/>
    <x:s v="Real Estate"/>
    <x:s v="201-500"/>
    <x:n v="117"/>
    <x:n v="533.6"/>
    <x:s v="Organic Search"/>
    <x:s v="North America"/>
    <x:d v="2024-07-19T00:00:00"/>
    <x:s v="Yes"/>
    <x:d v="2025-04-28T00:00:00"/>
    <x:s v="Price Too High"/>
    <x:n v="8"/>
    <x:n v="6"/>
    <x:n v="10"/>
    <x:s v="No"/>
    <x:n v="1"/>
  </x:r>
  <x:r>
    <x:s v="CUST-0371"/>
    <x:x v="1"/>
    <x:x v="0"/>
    <x:s v="Consulting"/>
    <x:s v="51-200"/>
    <x:n v="39"/>
    <x:n v="194.3"/>
    <x:s v="Referral"/>
    <x:s v="Latin America"/>
    <x:d v="2024-03-01T00:00:00"/>
    <x:s v="Yes"/>
    <x:d v="2024-04-17T00:00:00"/>
    <x:s v="Price Too High"/>
    <x:n v="13"/>
    <x:n v="1"/>
    <x:n v="22"/>
    <x:s v="No"/>
    <x:n v="1"/>
  </x:r>
  <x:r>
    <x:s v="CUST-0372"/>
    <x:x v="2"/>
    <x:x v="0"/>
    <x:s v="Legal"/>
    <x:s v="11-50"/>
    <x:n v="29"/>
    <x:n v="1034.8"/>
    <x:s v="Paid Ads"/>
    <x:s v="Asia Pacific"/>
    <x:d v="2023-02-10T00:00:00"/>
    <x:s v="Yes"/>
    <x:d v="2025-10-14T00:00:00"/>
    <x:s v="Company Closed"/>
    <x:n v="12"/>
    <x:n v="1"/>
    <x:n v="34"/>
    <x:s v="No"/>
    <x:n v="1"/>
  </x:r>
  <x:r>
    <x:s v="CUST-0373"/>
    <x:x v="2"/>
    <x:x v="0"/>
    <x:s v="Finance"/>
    <x:s v="1-10"/>
    <x:n v="4"/>
    <x:n v="288.55"/>
    <x:s v="Partner"/>
    <x:s v="Europe"/>
    <x:d v="2025-10-29T00:00:00"/>
    <x:s v="No"/>
    <x:m/>
    <x:s v=""/>
    <x:n v="6"/>
    <x:n v="2"/>
    <x:n v="63"/>
    <x:s v="No"/>
    <x:n v="0"/>
  </x:r>
  <x:r>
    <x:s v="CUST-0374"/>
    <x:x v="1"/>
    <x:x v="0"/>
    <x:s v="Real Estate"/>
    <x:s v="201-500"/>
    <x:n v="139"/>
    <x:n v="629.3"/>
    <x:s v="Paid Ads"/>
    <x:s v="Asia Pacific"/>
    <x:d v="2022-01-08T00:00:00"/>
    <x:s v="Yes"/>
    <x:d v="2022-04-08T00:00:00"/>
    <x:s v="Missing Features"/>
    <x:n v="10"/>
    <x:n v="6"/>
    <x:n v="20"/>
    <x:s v="No"/>
    <x:n v="1"/>
  </x:r>
  <x:r>
    <x:s v="CUST-0375"/>
    <x:x v="1"/>
    <x:x v="1"/>
    <x:s v="Legal"/>
    <x:s v="11-50"/>
    <x:n v="16"/>
    <x:n v="80.11"/>
    <x:s v="Organic Search"/>
    <x:s v="Europe"/>
    <x:d v="2022-05-12T00:00:00"/>
    <x:s v="Yes"/>
    <x:d v="2023-01-05T00:00:00"/>
    <x:s v="Missing Features"/>
    <x:n v="7"/>
    <x:n v="5"/>
    <x:n v="18"/>
    <x:s v="No"/>
    <x:n v="1"/>
  </x:r>
  <x:r>
    <x:s v="CUST-0376"/>
    <x:x v="3"/>
    <x:x v="1"/>
    <x:s v="Healthcare"/>
    <x:s v="51-200"/>
    <x:n v="46"/>
    <x:n v="3287.16"/>
    <x:s v="Partner"/>
    <x:s v="North America"/>
    <x:d v="2023-03-09T00:00:00"/>
    <x:s v="Yes"/>
    <x:d v="2024-06-16T00:00:00"/>
    <x:s v="No Longer Needed"/>
    <x:n v="12"/>
    <x:n v="5"/>
    <x:n v="27"/>
    <x:s v="No"/>
    <x:n v="1"/>
  </x:r>
  <x:r>
    <x:s v="CUST-0377"/>
    <x:x v="1"/>
    <x:x v="0"/>
    <x:s v="Legal"/>
    <x:s v="11-50"/>
    <x:n v="26"/>
    <x:n v="137.75"/>
    <x:s v="Organic Search"/>
    <x:s v="Latin America"/>
    <x:d v="2023-09-22T00:00:00"/>
    <x:s v="Yes"/>
    <x:d v="2023-12-09T00:00:00"/>
    <x:s v="Poor Support"/>
    <x:n v="12"/>
    <x:n v="1"/>
    <x:n v="33"/>
    <x:s v="No"/>
    <x:n v="1"/>
  </x:r>
  <x:r>
    <x:s v="CUST-0378"/>
    <x:x v="2"/>
    <x:x v="0"/>
    <x:s v="Manufacturing"/>
    <x:s v="11-50"/>
    <x:n v="5"/>
    <x:n v="318.4"/>
    <x:s v="Organic Search"/>
    <x:s v="Asia Pacific"/>
    <x:d v="2022-05-11T00:00:00"/>
    <x:s v="Yes"/>
    <x:d v="2023-11-07T00:00:00"/>
    <x:s v="Poor Support"/>
    <x:n v="10"/>
    <x:n v="6"/>
    <x:n v="31"/>
    <x:s v="No"/>
    <x:n v="1"/>
  </x:r>
  <x:r>
    <x:s v="CUST-0379"/>
    <x:x v="1"/>
    <x:x v="1"/>
    <x:s v="Technology"/>
    <x:s v="201-500"/>
    <x:n v="62"/>
    <x:n v="250.2"/>
    <x:s v="Social Media"/>
    <x:s v="Asia Pacific"/>
    <x:d v="2023-07-22T00:00:00"/>
    <x:s v="Yes"/>
    <x:d v="2023-08-24T00:00:00"/>
    <x:s v="Missing Features"/>
    <x:n v="13"/>
    <x:n v="6"/>
    <x:n v="10"/>
    <x:s v="No"/>
    <x:n v="1"/>
  </x:r>
  <x:r>
    <x:s v="CUST-0380"/>
    <x:x v="2"/>
    <x:x v="1"/>
    <x:s v="Manufacturing"/>
    <x:s v="201-500"/>
    <x:n v="150"/>
    <x:n v="3949.65"/>
    <x:s v="Organic Search"/>
    <x:s v="North America"/>
    <x:d v="2024-04-07T00:00:00"/>
    <x:s v="No"/>
    <x:m/>
    <x:s v=""/>
    <x:n v="7"/>
    <x:n v="9"/>
    <x:n v="67"/>
    <x:s v="No"/>
    <x:n v="0"/>
  </x:r>
  <x:r>
    <x:s v="CUST-0381"/>
    <x:x v="1"/>
    <x:x v="1"/>
    <x:s v="Real Estate"/>
    <x:s v="201-500"/>
    <x:n v="126"/>
    <x:n v="486.84"/>
    <x:s v="Direct Sales"/>
    <x:s v="Asia Pacific"/>
    <x:d v="2022-08-26T00:00:00"/>
    <x:s v="No"/>
    <x:m/>
    <x:s v=""/>
    <x:n v="11"/>
    <x:n v="5"/>
    <x:n v="74"/>
    <x:s v="No"/>
    <x:n v="0"/>
  </x:r>
  <x:r>
    <x:s v="CUST-0382"/>
    <x:x v="1"/>
    <x:x v="0"/>
    <x:s v="Retail"/>
    <x:s v="11-50"/>
    <x:n v="24"/>
    <x:n v="129.05"/>
    <x:s v="Organic Search"/>
    <x:s v="North America"/>
    <x:d v="2023-01-14T00:00:00"/>
    <x:s v="Yes"/>
    <x:d v="2025-09-22T00:00:00"/>
    <x:s v="Price Too High"/>
    <x:n v="11"/>
    <x:n v="1"/>
    <x:n v="16"/>
    <x:s v="No"/>
    <x:n v="1"/>
  </x:r>
  <x:r>
    <x:s v="CUST-0383"/>
    <x:x v="0"/>
    <x:x v="1"/>
    <x:s v="Technology"/>
    <x:s v="1-10"/>
    <x:n v="4"/>
    <x:n v="97.37"/>
    <x:s v="Referral"/>
    <x:s v="North America"/>
    <x:d v="2025-02-27T00:00:00"/>
    <x:s v="Yes"/>
    <x:d v="2025-11-09T00:00:00"/>
    <x:s v="Switched Competitor"/>
    <x:n v="0"/>
    <x:n v="4"/>
    <x:n v="29"/>
    <x:s v="No"/>
    <x:n v="1"/>
  </x:r>
  <x:r>
    <x:s v="CUST-0384"/>
    <x:x v="3"/>
    <x:x v="0"/>
    <x:s v="Consulting"/>
    <x:s v="201-500"/>
    <x:n v="141"/>
    <x:n v="10978"/>
    <x:s v="Paid Ads"/>
    <x:s v="Europe"/>
    <x:d v="2022-09-24T00:00:00"/>
    <x:s v="No"/>
    <x:m/>
    <x:s v=""/>
    <x:n v="6"/>
    <x:n v="2"/>
    <x:n v="49"/>
    <x:s v="No"/>
    <x:n v="0"/>
  </x:r>
  <x:r>
    <x:s v="CUST-0385"/>
    <x:x v="1"/>
    <x:x v="1"/>
    <x:s v="Retail"/>
    <x:s v="201-500"/>
    <x:n v="142"/>
    <x:n v="546"/>
    <x:s v="Paid Ads"/>
    <x:s v="North America"/>
    <x:d v="2023-09-02T00:00:00"/>
    <x:s v="Yes"/>
    <x:d v="2023-09-30T00:00:00"/>
    <x:s v="No Longer Needed"/>
    <x:n v="13"/>
    <x:n v="2"/>
    <x:n v="31"/>
    <x:s v="No"/>
    <x:n v="1"/>
  </x:r>
  <x:r>
    <x:s v="CUST-0386"/>
    <x:x v="0"/>
    <x:x v="0"/>
    <x:s v="Real Estate"/>
    <x:s v="1-10"/>
    <x:n v="4"/>
    <x:n v="114.55"/>
    <x:s v="Referral"/>
    <x:s v="Latin America"/>
    <x:d v="2025-08-20T00:00:00"/>
    <x:s v="Yes"/>
    <x:d v="2025-12-13T00:00:00"/>
    <x:s v="Budget Cuts"/>
    <x:n v="7"/>
    <x:n v="1"/>
    <x:n v="24"/>
    <x:s v="No"/>
    <x:n v="1"/>
  </x:r>
  <x:r>
    <x:s v="CUST-0387"/>
    <x:x v="1"/>
    <x:x v="0"/>
    <x:s v="Legal"/>
    <x:s v="1-10"/>
    <x:n v="3"/>
    <x:n v="37.7"/>
    <x:s v="Referral"/>
    <x:s v="North America"/>
    <x:d v="2023-07-30T00:00:00"/>
    <x:s v="Yes"/>
    <x:d v="2023-12-10T00:00:00"/>
    <x:s v="Price Too High"/>
    <x:n v="11"/>
    <x:n v="1"/>
    <x:n v="46"/>
    <x:s v="No"/>
    <x:n v="1"/>
  </x:r>
  <x:r>
    <x:s v="CUST-0388"/>
    <x:x v="0"/>
    <x:x v="1"/>
    <x:s v="Consulting"/>
    <x:s v="11-50"/>
    <x:n v="31"/>
    <x:n v="369.33"/>
    <x:s v="Partner"/>
    <x:s v="Asia Pacific"/>
    <x:d v="2023-05-25T00:00:00"/>
    <x:s v="No"/>
    <x:m/>
    <x:s v=""/>
    <x:n v="11"/>
    <x:n v="4"/>
    <x:n v="66"/>
    <x:s v="No"/>
    <x:n v="0"/>
  </x:r>
  <x:r>
    <x:s v="CUST-0389"/>
    <x:x v="0"/>
    <x:x v="1"/>
    <x:s v="Media"/>
    <x:s v="201-500"/>
    <x:n v="94"/>
    <x:n v="1003.89"/>
    <x:s v="Referral"/>
    <x:s v="Latin America"/>
    <x:d v="2024-06-27T00:00:00"/>
    <x:s v="No"/>
    <x:m/>
    <x:s v=""/>
    <x:n v="7"/>
    <x:n v="7"/>
    <x:n v="62"/>
    <x:s v="No"/>
    <x:n v="0"/>
  </x:r>
  <x:r>
    <x:s v="CUST-0390"/>
    <x:x v="0"/>
    <x:x v="0"/>
    <x:s v="Manufacturing"/>
    <x:s v="201-500"/>
    <x:n v="38"/>
    <x:n v="517.45"/>
    <x:s v="Paid Ads"/>
    <x:s v="North America"/>
    <x:d v="2023-05-13T00:00:00"/>
    <x:s v="Yes"/>
    <x:d v="2024-07-27T00:00:00"/>
    <x:s v="Poor Support"/>
    <x:n v="4"/>
    <x:n v="4"/>
    <x:n v="44"/>
    <x:s v="No"/>
    <x:n v="1"/>
  </x:r>
  <x:r>
    <x:s v="CUST-0391"/>
    <x:x v="1"/>
    <x:x v="1"/>
    <x:s v="Manufacturing"/>
    <x:s v="1-10"/>
    <x:n v="8"/>
    <x:n v="50.53"/>
    <x:s v="Paid Ads"/>
    <x:s v="Europe"/>
    <x:d v="2022-10-31T00:00:00"/>
    <x:s v="Yes"/>
    <x:d v="2024-06-10T00:00:00"/>
    <x:s v="No Longer Needed"/>
    <x:n v="2"/>
    <x:n v="6"/>
    <x:n v="17"/>
    <x:s v="No"/>
    <x:n v="1"/>
  </x:r>
  <x:r>
    <x:s v="CUST-0392"/>
    <x:x v="1"/>
    <x:x v="0"/>
    <x:s v="Media"/>
    <x:s v="11-50"/>
    <x:n v="19"/>
    <x:n v="107.3"/>
    <x:s v="Paid Ads"/>
    <x:s v="North America"/>
    <x:d v="2024-03-10T00:00:00"/>
    <x:s v="Yes"/>
    <x:d v="2024-05-06T00:00:00"/>
    <x:s v="Missing Features"/>
    <x:n v="9"/>
    <x:n v="5"/>
    <x:n v="18"/>
    <x:s v="No"/>
    <x:n v="1"/>
  </x:r>
  <x:r>
    <x:s v="CUST-0393"/>
    <x:x v="0"/>
    <x:x v="0"/>
    <x:s v="Media"/>
    <x:s v="51-200"/>
    <x:n v="39"/>
    <x:n v="529.3"/>
    <x:s v="Direct Sales"/>
    <x:s v="North America"/>
    <x:d v="2025-02-13T00:00:00"/>
    <x:s v="No"/>
    <x:m/>
    <x:s v=""/>
    <x:n v="1"/>
    <x:n v="10"/>
    <x:n v="49"/>
    <x:s v="No"/>
    <x:n v="0"/>
  </x:r>
  <x:r>
    <x:s v="CUST-0394"/>
    <x:x v="0"/>
    <x:x v="1"/>
    <x:s v="Real Estate"/>
    <x:s v="11-50"/>
    <x:n v="19"/>
    <x:n v="248.46"/>
    <x:s v="Organic Search"/>
    <x:s v="North America"/>
    <x:d v="2024-03-28T00:00:00"/>
    <x:s v="No"/>
    <x:m/>
    <x:s v=""/>
    <x:n v="5"/>
    <x:n v="6"/>
    <x:n v="23"/>
    <x:s v="No"/>
    <x:n v="0"/>
  </x:r>
  <x:r>
    <x:s v="CUST-0395"/>
    <x:x v="2"/>
    <x:x v="0"/>
    <x:s v="Finance"/>
    <x:s v="1-10"/>
    <x:n v="4"/>
    <x:n v="288.55"/>
    <x:s v="Organic Search"/>
    <x:s v="Europe"/>
    <x:d v="2024-03-12T00:00:00"/>
    <x:s v="No"/>
    <x:m/>
    <x:s v=""/>
    <x:n v="0"/>
    <x:n v="4"/>
    <x:n v="39"/>
    <x:s v="No"/>
    <x:n v="0"/>
  </x:r>
  <x:r>
    <x:s v="CUST-0396"/>
    <x:x v="0"/>
    <x:x v="0"/>
    <x:s v="Education"/>
    <x:s v="1-10"/>
    <x:n v="7"/>
    <x:n v="150.1"/>
    <x:s v="Referral"/>
    <x:s v="Europe"/>
    <x:d v="2023-10-18T00:00:00"/>
    <x:s v="No"/>
    <x:m/>
    <x:s v=""/>
    <x:n v="3"/>
    <x:n v="7"/>
    <x:n v="73"/>
    <x:s v="No"/>
    <x:n v="0"/>
  </x:r>
  <x:r>
    <x:s v="CUST-0397"/>
    <x:x v="1"/>
    <x:x v="1"/>
    <x:s v="Real Estate"/>
    <x:s v="11-50"/>
    <x:n v="5"/>
    <x:n v="39.44"/>
    <x:s v="Organic Search"/>
    <x:s v="Europe"/>
    <x:d v="2024-08-14T00:00:00"/>
    <x:s v="Yes"/>
    <x:d v="2024-10-27T00:00:00"/>
    <x:s v="Company Closed"/>
    <x:n v="2"/>
    <x:n v="1"/>
    <x:n v="39"/>
    <x:s v="No"/>
    <x:n v="1"/>
  </x:r>
  <x:r>
    <x:s v="CUST-0398"/>
    <x:x v="2"/>
    <x:x v="1"/>
    <x:s v="Finance"/>
    <x:s v="500+"/>
    <x:n v="252"/>
    <x:n v="6537.65"/>
    <x:s v="Organic Search"/>
    <x:s v="North America"/>
    <x:d v="2023-04-28T00:00:00"/>
    <x:s v="Yes"/>
    <x:d v="2023-05-22T00:00:00"/>
    <x:s v="Price Too High"/>
    <x:n v="9"/>
    <x:n v="6"/>
    <x:n v="44"/>
    <x:s v="No"/>
    <x:n v="1"/>
  </x:r>
  <x:r>
    <x:s v="CUST-0399"/>
    <x:x v="2"/>
    <x:x v="1"/>
    <x:s v="Real Estate"/>
    <x:s v="201-500"/>
    <x:n v="86"/>
    <x:n v="2325.81"/>
    <x:s v="Paid Ads"/>
    <x:s v="North America"/>
    <x:d v="2023-10-10T00:00:00"/>
    <x:s v="Yes"/>
    <x:d v="2025-11-23T00:00:00"/>
    <x:s v="Switched Competitor"/>
    <x:n v="0"/>
    <x:n v="2"/>
    <x:n v="11"/>
    <x:s v="No"/>
    <x:n v="1"/>
  </x:r>
  <x:r>
    <x:s v="CUST-0400"/>
    <x:x v="1"/>
    <x:x v="1"/>
    <x:s v="Education"/>
    <x:s v="1-10"/>
    <x:n v="5"/>
    <x:n v="39.44"/>
    <x:s v="Partner"/>
    <x:s v="North America"/>
    <x:d v="2022-07-29T00:00:00"/>
    <x:s v="Yes"/>
    <x:d v="2024-07-19T00:00:00"/>
    <x:s v="Budget Cuts"/>
    <x:n v="3"/>
    <x:n v="1"/>
    <x:n v="34"/>
    <x:s v="No"/>
    <x:n v="1"/>
  </x:r>
  <x:r>
    <x:s v="CUST-0401"/>
    <x:x v="2"/>
    <x:x v="1"/>
    <x:s v="Healthcare"/>
    <x:s v="1-10"/>
    <x:n v="7"/>
    <x:n v="321.38"/>
    <x:s v="Organic Search"/>
    <x:s v="North America"/>
    <x:d v="2024-11-06T00:00:00"/>
    <x:s v="No"/>
    <x:m/>
    <x:s v=""/>
    <x:n v="9"/>
    <x:n v="9"/>
    <x:n v="30"/>
    <x:s v="No"/>
    <x:n v="0"/>
  </x:r>
  <x:r>
    <x:s v="CUST-0402"/>
    <x:x v="0"/>
    <x:x v="1"/>
    <x:s v="Media"/>
    <x:s v="51-200"/>
    <x:n v="34"/>
    <x:n v="399.54"/>
    <x:s v="Referral"/>
    <x:s v="Europe"/>
    <x:d v="2022-04-04T00:00:00"/>
    <x:s v="Yes"/>
    <x:d v="2024-08-24T00:00:00"/>
    <x:s v="Company Closed"/>
    <x:n v="14"/>
    <x:n v="1"/>
    <x:n v="34"/>
    <x:s v="No"/>
    <x:n v="1"/>
  </x:r>
  <x:r>
    <x:s v="CUST-0403"/>
    <x:x v="2"/>
    <x:x v="0"/>
    <x:s v="Consulting"/>
    <x:s v="1-10"/>
    <x:n v="8"/>
    <x:n v="407.95"/>
    <x:s v="Organic Search"/>
    <x:s v="North America"/>
    <x:d v="2023-01-22T00:00:00"/>
    <x:s v="Yes"/>
    <x:d v="2024-08-27T00:00:00"/>
    <x:s v="Poor Support"/>
    <x:n v="13"/>
    <x:n v="5"/>
    <x:n v="25"/>
    <x:s v="No"/>
    <x:n v="1"/>
  </x:r>
  <x:r>
    <x:s v="CUST-0404"/>
    <x:x v="2"/>
    <x:x v="0"/>
    <x:s v="Healthcare"/>
    <x:s v="51-200"/>
    <x:n v="43"/>
    <x:n v="1452.7"/>
    <x:s v="Partner"/>
    <x:s v="North America"/>
    <x:d v="2025-09-25T00:00:00"/>
    <x:s v="No"/>
    <x:m/>
    <x:s v=""/>
    <x:n v="4"/>
    <x:n v="5"/>
    <x:n v="79"/>
    <x:s v="No"/>
    <x:n v="0"/>
  </x:r>
  <x:r>
    <x:s v="CUST-0405"/>
    <x:x v="2"/>
    <x:x v="0"/>
    <x:s v="Manufacturing"/>
    <x:s v="11-50"/>
    <x:n v="7"/>
    <x:n v="378.1"/>
    <x:s v="Paid Ads"/>
    <x:s v="North America"/>
    <x:d v="2025-02-23T00:00:00"/>
    <x:s v="No"/>
    <x:m/>
    <x:s v=""/>
    <x:n v="11"/>
    <x:n v="1"/>
    <x:n v="29"/>
    <x:s v="Yes"/>
    <x:n v="0"/>
  </x:r>
  <x:r>
    <x:s v="CUST-0406"/>
    <x:x v="2"/>
    <x:x v="0"/>
    <x:s v="Retail"/>
    <x:s v="51-200"/>
    <x:n v="29"/>
    <x:n v="1034.8"/>
    <x:s v="Direct Sales"/>
    <x:s v="North America"/>
    <x:d v="2023-02-22T00:00:00"/>
    <x:s v="Yes"/>
    <x:d v="2025-09-29T00:00:00"/>
    <x:s v="Missing Features"/>
    <x:n v="14"/>
    <x:n v="4"/>
    <x:n v="41"/>
    <x:s v="No"/>
    <x:n v="1"/>
  </x:r>
  <x:r>
    <x:s v="CUST-0407"/>
    <x:x v="0"/>
    <x:x v="1"/>
    <x:s v="Consulting"/>
    <x:s v="500+"/>
    <x:n v="115"/>
    <x:n v="1215.41"/>
    <x:s v="Referral"/>
    <x:s v="Europe"/>
    <x:d v="2022-09-12T00:00:00"/>
    <x:s v="Yes"/>
    <x:d v="2023-04-03T00:00:00"/>
    <x:s v="Missing Features"/>
    <x:n v="7"/>
    <x:n v="4"/>
    <x:n v="48"/>
    <x:s v="No"/>
    <x:n v="1"/>
  </x:r>
  <x:r>
    <x:s v="CUST-0408"/>
    <x:x v="1"/>
    <x:x v="0"/>
    <x:s v="Finance"/>
    <x:s v="51-200"/>
    <x:n v="75"/>
    <x:n v="350.9"/>
    <x:s v="Paid Ads"/>
    <x:s v="North America"/>
    <x:d v="2025-10-14T00:00:00"/>
    <x:s v="No"/>
    <x:m/>
    <x:s v=""/>
    <x:n v="10"/>
    <x:n v="8"/>
    <x:n v="92"/>
    <x:s v="No"/>
    <x:n v="0"/>
  </x:r>
  <x:r>
    <x:s v="CUST-0409"/>
    <x:x v="1"/>
    <x:x v="0"/>
    <x:s v="Manufacturing"/>
    <x:s v="1-10"/>
    <x:n v="8"/>
    <x:n v="59.45"/>
    <x:s v="Referral"/>
    <x:s v="North America"/>
    <x:d v="2025-04-01T00:00:00"/>
    <x:s v="Yes"/>
    <x:d v="2025-04-19T00:00:00"/>
    <x:s v="Poor Support"/>
    <x:n v="11"/>
    <x:n v="2"/>
    <x:n v="27"/>
    <x:s v="No"/>
    <x:n v="1"/>
  </x:r>
  <x:r>
    <x:s v="CUST-0410"/>
    <x:x v="0"/>
    <x:x v="0"/>
    <x:s v="Legal"/>
    <x:s v="201-500"/>
    <x:n v="125"/>
    <x:n v="1548.4"/>
    <x:s v="Referral"/>
    <x:s v="North America"/>
    <x:d v="2022-03-17T00:00:00"/>
    <x:s v="Yes"/>
    <x:d v="2023-06-19T00:00:00"/>
    <x:s v="Price Too High"/>
    <x:n v="14"/>
    <x:n v="4"/>
    <x:n v="12"/>
    <x:s v="No"/>
    <x:n v="1"/>
  </x:r>
  <x:r>
    <x:s v="CUST-0411"/>
    <x:x v="0"/>
    <x:x v="0"/>
    <x:s v="Finance"/>
    <x:s v="201-500"/>
    <x:n v="92"/>
    <x:n v="1157.35"/>
    <x:s v="Paid Ads"/>
    <x:s v="Europe"/>
    <x:d v="2024-08-28T00:00:00"/>
    <x:s v="Yes"/>
    <x:d v="2025-10-02T00:00:00"/>
    <x:s v="Price Too High"/>
    <x:n v="13"/>
    <x:n v="1"/>
    <x:n v="18"/>
    <x:s v="No"/>
    <x:n v="1"/>
  </x:r>
  <x:r>
    <x:s v="CUST-0412"/>
    <x:x v="0"/>
    <x:x v="0"/>
    <x:s v="Healthcare"/>
    <x:s v="51-200"/>
    <x:n v="45"/>
    <x:n v="600.4"/>
    <x:s v="Paid Ads"/>
    <x:s v="North America"/>
    <x:d v="2022-11-25T00:00:00"/>
    <x:s v="Yes"/>
    <x:d v="2023-05-25T00:00:00"/>
    <x:s v="No Longer Needed"/>
    <x:n v="8"/>
    <x:n v="4"/>
    <x:n v="24"/>
    <x:s v="No"/>
    <x:n v="1"/>
  </x:r>
  <x:r>
    <x:s v="CUST-0413"/>
    <x:x v="2"/>
    <x:x v="1"/>
    <x:s v="Real Estate"/>
    <x:s v="201-500"/>
    <x:n v="49"/>
    <x:n v="1387.03"/>
    <x:s v="Partner"/>
    <x:s v="Asia Pacific"/>
    <x:d v="2022-10-13T00:00:00"/>
    <x:s v="No"/>
    <x:m/>
    <x:s v=""/>
    <x:n v="0"/>
    <x:n v="9"/>
    <x:n v="95"/>
    <x:s v="No"/>
    <x:n v="0"/>
  </x:r>
  <x:r>
    <x:s v="CUST-0414"/>
    <x:x v="2"/>
    <x:x v="0"/>
    <x:s v="Real Estate"/>
    <x:s v="201-500"/>
    <x:n v="137"/>
    <x:n v="4258.6"/>
    <x:s v="Referral"/>
    <x:s v="Asia Pacific"/>
    <x:d v="2023-07-23T00:00:00"/>
    <x:s v="Yes"/>
    <x:d v="2024-08-12T00:00:00"/>
    <x:s v="Missing Features"/>
    <x:n v="15"/>
    <x:n v="1"/>
    <x:n v="25"/>
    <x:s v="No"/>
    <x:n v="1"/>
  </x:r>
  <x:r>
    <x:s v="CUST-0415"/>
    <x:x v="1"/>
    <x:x v="0"/>
    <x:s v="Retail"/>
    <x:s v="11-50"/>
    <x:n v="13"/>
    <x:n v="81.2"/>
    <x:s v="Social Media"/>
    <x:s v="Europe"/>
    <x:d v="2024-09-08T00:00:00"/>
    <x:s v="Yes"/>
    <x:d v="2024-10-15T00:00:00"/>
    <x:s v="Switched Competitor"/>
    <x:n v="7"/>
    <x:n v="3"/>
    <x:n v="45"/>
    <x:s v="No"/>
    <x:n v="1"/>
  </x:r>
  <x:r>
    <x:s v="CUST-0416"/>
    <x:x v="2"/>
    <x:x v="1"/>
    <x:s v="Manufacturing"/>
    <x:s v="11-50"/>
    <x:n v="14"/>
    <x:n v="498.99"/>
    <x:s v="Social Media"/>
    <x:s v="Europe"/>
    <x:d v="2025-02-18T00:00:00"/>
    <x:s v="Yes"/>
    <x:d v="2025-05-18T00:00:00"/>
    <x:s v="Missing Features"/>
    <x:n v="13"/>
    <x:n v="1"/>
    <x:n v="33"/>
    <x:s v="No"/>
    <x:n v="1"/>
  </x:r>
  <x:r>
    <x:s v="CUST-0417"/>
    <x:x v="1"/>
    <x:x v="1"/>
    <x:s v="Real Estate"/>
    <x:s v="11-50"/>
    <x:n v="18"/>
    <x:n v="87.51"/>
    <x:s v="Organic Search"/>
    <x:s v="Latin America"/>
    <x:d v="2024-08-17T00:00:00"/>
    <x:s v="Yes"/>
    <x:d v="2024-10-30T00:00:00"/>
    <x:s v="Price Too High"/>
    <x:n v="10"/>
    <x:n v="1"/>
    <x:n v="36"/>
    <x:s v="No"/>
    <x:n v="1"/>
  </x:r>
  <x:r>
    <x:s v="CUST-0418"/>
    <x:x v="1"/>
    <x:x v="0"/>
    <x:s v="Consulting"/>
    <x:s v="1-10"/>
    <x:n v="2"/>
    <x:n v="33.35"/>
    <x:s v="Social Media"/>
    <x:s v="Latin America"/>
    <x:d v="2022-10-05T00:00:00"/>
    <x:s v="Yes"/>
    <x:d v="2023-07-03T00:00:00"/>
    <x:s v="Switched Competitor"/>
    <x:n v="11"/>
    <x:n v="1"/>
    <x:n v="37"/>
    <x:s v="No"/>
    <x:n v="1"/>
  </x:r>
  <x:r>
    <x:s v="CUST-0419"/>
    <x:x v="0"/>
    <x:x v="1"/>
    <x:s v="Manufacturing"/>
    <x:s v="201-500"/>
    <x:n v="143"/>
    <x:n v="1497.45"/>
    <x:s v="Organic Search"/>
    <x:s v="Europe"/>
    <x:d v="2022-04-04T00:00:00"/>
    <x:s v="No"/>
    <x:m/>
    <x:s v=""/>
    <x:n v="2"/>
    <x:n v="9"/>
    <x:n v="29"/>
    <x:s v="Yes"/>
    <x:n v="0"/>
  </x:r>
  <x:r>
    <x:s v="CUST-0420"/>
    <x:x v="0"/>
    <x:x v="0"/>
    <x:s v="Retail"/>
    <x:s v="1-10"/>
    <x:n v="8"/>
    <x:n v="161.95"/>
    <x:s v="Referral"/>
    <x:s v="North America"/>
    <x:d v="2022-03-07T00:00:00"/>
    <x:s v="Yes"/>
    <x:d v="2024-02-27T00:00:00"/>
    <x:s v="Missing Features"/>
    <x:n v="7"/>
    <x:n v="2"/>
    <x:n v="10"/>
    <x:s v="No"/>
    <x:n v="1"/>
  </x:r>
  <x:r>
    <x:s v="CUST-0421"/>
    <x:x v="0"/>
    <x:x v="0"/>
    <x:s v="Manufacturing"/>
    <x:s v="500+"/>
    <x:n v="185"/>
    <x:n v="2259.4"/>
    <x:s v="Paid Ads"/>
    <x:s v="North America"/>
    <x:d v="2022-09-26T00:00:00"/>
    <x:s v="Yes"/>
    <x:d v="2023-01-27T00:00:00"/>
    <x:s v="Poor Support"/>
    <x:n v="10"/>
    <x:n v="6"/>
    <x:n v="29"/>
    <x:s v="No"/>
    <x:n v="1"/>
  </x:r>
  <x:r>
    <x:s v="CUST-0422"/>
    <x:x v="0"/>
    <x:x v="0"/>
    <x:s v="Consulting"/>
    <x:s v="51-200"/>
    <x:n v="59"/>
    <x:n v="766.3"/>
    <x:s v="Social Media"/>
    <x:s v="North America"/>
    <x:d v="2023-04-14T00:00:00"/>
    <x:s v="No"/>
    <x:m/>
    <x:s v=""/>
    <x:n v="3"/>
    <x:n v="7"/>
    <x:n v="92"/>
    <x:s v="Yes"/>
    <x:n v="0"/>
  </x:r>
  <x:r>
    <x:s v="CUST-0423"/>
    <x:x v="1"/>
    <x:x v="0"/>
    <x:s v="Manufacturing"/>
    <x:s v="11-50"/>
    <x:n v="15"/>
    <x:n v="89.9"/>
    <x:s v="Referral"/>
    <x:s v="Europe"/>
    <x:d v="2023-10-29T00:00:00"/>
    <x:s v="Yes"/>
    <x:d v="2024-06-25T00:00:00"/>
    <x:s v="Price Too High"/>
    <x:n v="4"/>
    <x:n v="5"/>
    <x:n v="20"/>
    <x:s v="No"/>
    <x:n v="1"/>
  </x:r>
  <x:r>
    <x:s v="CUST-0424"/>
    <x:x v="1"/>
    <x:x v="0"/>
    <x:s v="Media"/>
    <x:s v="1-10"/>
    <x:n v="5"/>
    <x:n v="46.4"/>
    <x:s v="Referral"/>
    <x:s v="Europe"/>
    <x:d v="2023-04-25T00:00:00"/>
    <x:s v="Yes"/>
    <x:d v="2024-08-21T00:00:00"/>
    <x:s v="Budget Cuts"/>
    <x:n v="11"/>
    <x:n v="6"/>
    <x:n v="50"/>
    <x:s v="No"/>
    <x:n v="1"/>
  </x:r>
  <x:r>
    <x:s v="CUST-0425"/>
    <x:x v="1"/>
    <x:x v="0"/>
    <x:s v="Technology"/>
    <x:s v="1-10"/>
    <x:n v="6"/>
    <x:n v="50.75"/>
    <x:s v="Referral"/>
    <x:s v="Asia Pacific"/>
    <x:d v="2025-03-15T00:00:00"/>
    <x:s v="Yes"/>
    <x:d v="2025-07-31T00:00:00"/>
    <x:s v="No Longer Needed"/>
    <x:n v="6"/>
    <x:n v="2"/>
    <x:n v="22"/>
    <x:s v="No"/>
    <x:n v="1"/>
  </x:r>
  <x:r>
    <x:s v="CUST-0426"/>
    <x:x v="2"/>
    <x:x v="0"/>
    <x:s v="Education"/>
    <x:s v="1-10"/>
    <x:n v="7"/>
    <x:n v="378.1"/>
    <x:s v="Organic Search"/>
    <x:s v="North America"/>
    <x:d v="2024-03-06T00:00:00"/>
    <x:s v="No"/>
    <x:m/>
    <x:s v=""/>
    <x:n v="10"/>
    <x:n v="10"/>
    <x:n v="68"/>
    <x:s v="Yes"/>
    <x:n v="0"/>
  </x:r>
  <x:r>
    <x:s v="CUST-0427"/>
    <x:x v="1"/>
    <x:x v="1"/>
    <x:s v="Real Estate"/>
    <x:s v="51-200"/>
    <x:n v="79"/>
    <x:n v="313.05"/>
    <x:s v="Paid Ads"/>
    <x:s v="Latin America"/>
    <x:d v="2024-12-25T00:00:00"/>
    <x:s v="No"/>
    <x:m/>
    <x:s v=""/>
    <x:n v="6"/>
    <x:n v="7"/>
    <x:n v="37"/>
    <x:s v="No"/>
    <x:n v="0"/>
  </x:r>
  <x:r>
    <x:s v="CUST-0428"/>
    <x:x v="1"/>
    <x:x v="0"/>
    <x:s v="Real Estate"/>
    <x:s v="11-50"/>
    <x:n v="11"/>
    <x:n v="72.5"/>
    <x:s v="Organic Search"/>
    <x:s v="North America"/>
    <x:d v="2025-10-18T00:00:00"/>
    <x:s v="No"/>
    <x:m/>
    <x:s v=""/>
    <x:n v="1"/>
    <x:n v="4"/>
    <x:n v="24"/>
    <x:s v="No"/>
    <x:n v="0"/>
  </x:r>
  <x:r>
    <x:s v="CUST-0429"/>
    <x:x v="0"/>
    <x:x v="0"/>
    <x:s v="Media"/>
    <x:s v="11-50"/>
    <x:n v="15"/>
    <x:n v="244.9"/>
    <x:s v="Paid Ads"/>
    <x:s v="Europe"/>
    <x:d v="2025-06-09T00:00:00"/>
    <x:s v="No"/>
    <x:m/>
    <x:s v=""/>
    <x:n v="8"/>
    <x:n v="5"/>
    <x:n v="32"/>
    <x:s v="No"/>
    <x:n v="0"/>
  </x:r>
  <x:r>
    <x:s v="CUST-0430"/>
    <x:x v="2"/>
    <x:x v="0"/>
    <x:s v="Education"/>
    <x:s v="11-50"/>
    <x:n v="20"/>
    <x:n v="766.15"/>
    <x:s v="Referral"/>
    <x:s v="Europe"/>
    <x:d v="2025-11-05T00:00:00"/>
    <x:s v="No"/>
    <x:m/>
    <x:s v=""/>
    <x:n v="2"/>
    <x:n v="9"/>
    <x:n v="39"/>
    <x:s v="No"/>
    <x:n v="0"/>
  </x:r>
  <x:r>
    <x:s v="CUST-0431"/>
    <x:x v="1"/>
    <x:x v="1"/>
    <x:s v="Real Estate"/>
    <x:s v="11-50"/>
    <x:n v="27"/>
    <x:n v="120.78"/>
    <x:s v="Organic Search"/>
    <x:s v="Asia Pacific"/>
    <x:d v="2025-10-03T00:00:00"/>
    <x:s v="No"/>
    <x:m/>
    <x:s v=""/>
    <x:n v="3"/>
    <x:n v="8"/>
    <x:n v="22"/>
    <x:s v="No"/>
    <x:n v="0"/>
  </x:r>
  <x:r>
    <x:s v="CUST-0432"/>
    <x:x v="0"/>
    <x:x v="1"/>
    <x:s v="Education"/>
    <x:s v="51-200"/>
    <x:n v="28"/>
    <x:n v="339.11"/>
    <x:s v="Organic Search"/>
    <x:s v="North America"/>
    <x:d v="2025-05-10T00:00:00"/>
    <x:s v="No"/>
    <x:m/>
    <x:s v=""/>
    <x:n v="2"/>
    <x:n v="1"/>
    <x:n v="51"/>
    <x:s v="No"/>
    <x:n v="0"/>
  </x:r>
  <x:r>
    <x:s v="CUST-0433"/>
    <x:x v="3"/>
    <x:x v="0"/>
    <x:s v="Real Estate"/>
    <x:s v="11-50"/>
    <x:n v="25"/>
    <x:n v="2295.4"/>
    <x:s v="Organic Search"/>
    <x:s v="North America"/>
    <x:d v="2023-08-13T00:00:00"/>
    <x:s v="Yes"/>
    <x:d v="2024-02-25T00:00:00"/>
    <x:s v="No Longer Needed"/>
    <x:n v="1"/>
    <x:n v="1"/>
    <x:n v="34"/>
    <x:s v="No"/>
    <x:n v="1"/>
  </x:r>
  <x:r>
    <x:s v="CUST-0434"/>
    <x:x v="1"/>
    <x:x v="1"/>
    <x:s v="Real Estate"/>
    <x:s v="500+"/>
    <x:n v="222"/>
    <x:n v="841.8"/>
    <x:s v="Referral"/>
    <x:s v="North America"/>
    <x:d v="2022-10-17T00:00:00"/>
    <x:s v="Yes"/>
    <x:d v="2024-12-05T00:00:00"/>
    <x:s v="Poor Support"/>
    <x:n v="8"/>
    <x:n v="2"/>
    <x:n v="47"/>
    <x:s v="No"/>
    <x:n v="1"/>
  </x:r>
  <x:r>
    <x:s v="CUST-0435"/>
    <x:x v="1"/>
    <x:x v="0"/>
    <x:s v="Retail"/>
    <x:s v="1-10"/>
    <x:n v="4"/>
    <x:n v="42.05"/>
    <x:s v="Referral"/>
    <x:s v="Latin America"/>
    <x:d v="2023-02-09T00:00:00"/>
    <x:s v="Yes"/>
    <x:d v="2023-08-27T00:00:00"/>
    <x:s v="Poor Support"/>
    <x:n v="5"/>
    <x:n v="3"/>
    <x:n v="10"/>
    <x:s v="No"/>
    <x:n v="1"/>
  </x:r>
  <x:r>
    <x:s v="CUST-0436"/>
    <x:x v="2"/>
    <x:x v="1"/>
    <x:s v="Finance"/>
    <x:s v="51-200"/>
    <x:n v="48"/>
    <x:n v="1361.66"/>
    <x:s v="Paid Ads"/>
    <x:s v="Latin America"/>
    <x:d v="2022-12-11T00:00:00"/>
    <x:s v="Yes"/>
    <x:d v="2024-11-04T00:00:00"/>
    <x:s v="Company Closed"/>
    <x:n v="7"/>
    <x:n v="1"/>
    <x:n v="28"/>
    <x:s v="No"/>
    <x:n v="1"/>
  </x:r>
  <x:r>
    <x:s v="CUST-0437"/>
    <x:x v="1"/>
    <x:x v="0"/>
    <x:s v="Education"/>
    <x:s v="11-50"/>
    <x:n v="6"/>
    <x:n v="50.75"/>
    <x:s v="Referral"/>
    <x:s v="Asia Pacific"/>
    <x:d v="2023-04-10T00:00:00"/>
    <x:s v="Yes"/>
    <x:d v="2023-06-09T00:00:00"/>
    <x:s v="Poor Support"/>
    <x:n v="5"/>
    <x:n v="3"/>
    <x:n v="18"/>
    <x:s v="No"/>
    <x:n v="1"/>
  </x:r>
  <x:r>
    <x:s v="CUST-0438"/>
    <x:x v="1"/>
    <x:x v="1"/>
    <x:s v="Technology"/>
    <x:s v="51-200"/>
    <x:n v="44"/>
    <x:n v="183.64"/>
    <x:s v="Paid Ads"/>
    <x:s v="Europe"/>
    <x:d v="2024-11-01T00:00:00"/>
    <x:s v="Yes"/>
    <x:d v="2024-11-03T00:00:00"/>
    <x:s v="Price Too High"/>
    <x:n v="5"/>
    <x:n v="6"/>
    <x:n v="31"/>
    <x:s v="No"/>
    <x:n v="1"/>
  </x:r>
  <x:r>
    <x:s v="CUST-0439"/>
    <x:x v="2"/>
    <x:x v="0"/>
    <x:s v="Consulting"/>
    <x:s v="500+"/>
    <x:n v="62"/>
    <x:n v="2019.85"/>
    <x:s v="Direct Sales"/>
    <x:s v="Europe"/>
    <x:d v="2025-06-08T00:00:00"/>
    <x:s v="Yes"/>
    <x:d v="2025-07-18T00:00:00"/>
    <x:s v="Company Closed"/>
    <x:n v="9"/>
    <x:n v="4"/>
    <x:n v="34"/>
    <x:s v="No"/>
    <x:n v="1"/>
  </x:r>
  <x:r>
    <x:s v="CUST-0440"/>
    <x:x v="2"/>
    <x:x v="1"/>
    <x:s v="Healthcare"/>
    <x:s v="1-10"/>
    <x:n v="8"/>
    <x:n v="346.76"/>
    <x:s v="Referral"/>
    <x:s v="Latin America"/>
    <x:d v="2025-12-01T00:00:00"/>
    <x:s v="No"/>
    <x:m/>
    <x:s v=""/>
    <x:n v="1"/>
    <x:n v="10"/>
    <x:n v="50"/>
    <x:s v="No"/>
    <x:n v="0"/>
  </x:r>
  <x:r>
    <x:s v="CUST-0441"/>
    <x:x v="0"/>
    <x:x v="1"/>
    <x:s v="Real Estate"/>
    <x:s v="201-500"/>
    <x:n v="88"/>
    <x:n v="943.46"/>
    <x:s v="Paid Ads"/>
    <x:s v="North America"/>
    <x:d v="2023-08-13T00:00:00"/>
    <x:s v="Yes"/>
    <x:d v="2024-01-17T00:00:00"/>
    <x:s v="Switched Competitor"/>
    <x:n v="8"/>
    <x:n v="4"/>
    <x:n v="44"/>
    <x:s v="No"/>
    <x:n v="1"/>
  </x:r>
  <x:r>
    <x:s v="CUST-0442"/>
    <x:x v="2"/>
    <x:x v="1"/>
    <x:s v="Healthcare"/>
    <x:s v="51-200"/>
    <x:n v="54"/>
    <x:n v="1513.89"/>
    <x:s v="Paid Ads"/>
    <x:s v="Asia Pacific"/>
    <x:d v="2024-04-05T00:00:00"/>
    <x:s v="No"/>
    <x:m/>
    <x:s v=""/>
    <x:n v="10"/>
    <x:n v="10"/>
    <x:n v="33"/>
    <x:s v="Yes"/>
    <x:n v="0"/>
  </x:r>
  <x:r>
    <x:s v="CUST-0443"/>
    <x:x v="0"/>
    <x:x v="0"/>
    <x:s v="Legal"/>
    <x:s v="51-200"/>
    <x:n v="58"/>
    <x:n v="754.45"/>
    <x:s v="Organic Search"/>
    <x:s v="North America"/>
    <x:d v="2023-06-28T00:00:00"/>
    <x:s v="No"/>
    <x:m/>
    <x:s v=""/>
    <x:n v="11"/>
    <x:n v="5"/>
    <x:n v="84"/>
    <x:s v="No"/>
    <x:n v="0"/>
  </x:r>
  <x:r>
    <x:s v="CUST-0444"/>
    <x:x v="2"/>
    <x:x v="0"/>
    <x:s v="Education"/>
    <x:s v="1-10"/>
    <x:n v="5"/>
    <x:n v="318.4"/>
    <x:s v="Organic Search"/>
    <x:s v="Latin America"/>
    <x:d v="2023-10-24T00:00:00"/>
    <x:s v="No"/>
    <x:m/>
    <x:s v=""/>
    <x:n v="9"/>
    <x:n v="9"/>
    <x:n v="59"/>
    <x:s v="Yes"/>
    <x:n v="0"/>
  </x:r>
  <x:r>
    <x:s v="CUST-0445"/>
    <x:x v="1"/>
    <x:x v="0"/>
    <x:s v="Real Estate"/>
    <x:s v="500+"/>
    <x:n v="254"/>
    <x:n v="1129.55"/>
    <x:s v="Referral"/>
    <x:s v="North America"/>
    <x:d v="2025-05-02T00:00:00"/>
    <x:s v="No"/>
    <x:m/>
    <x:s v=""/>
    <x:n v="2"/>
    <x:n v="7"/>
    <x:n v="42"/>
    <x:s v="No"/>
    <x:n v="0"/>
  </x:r>
  <x:r>
    <x:s v="CUST-0446"/>
    <x:x v="2"/>
    <x:x v="0"/>
    <x:s v="Technology"/>
    <x:s v="51-200"/>
    <x:n v="30"/>
    <x:n v="1064.65"/>
    <x:s v="Paid Ads"/>
    <x:s v="Europe"/>
    <x:d v="2023-05-26T00:00:00"/>
    <x:s v="Yes"/>
    <x:d v="2024-03-13T00:00:00"/>
    <x:s v="Price Too High"/>
    <x:n v="10"/>
    <x:n v="3"/>
    <x:n v="44"/>
    <x:s v="No"/>
    <x:n v="1"/>
  </x:r>
  <x:r>
    <x:s v="CUST-0447"/>
    <x:x v="1"/>
    <x:x v="0"/>
    <x:s v="Technology"/>
    <x:s v="1-10"/>
    <x:n v="5"/>
    <x:n v="46.4"/>
    <x:s v="Direct Sales"/>
    <x:s v="Asia Pacific"/>
    <x:d v="2023-10-17T00:00:00"/>
    <x:s v="No"/>
    <x:m/>
    <x:s v=""/>
    <x:n v="0"/>
    <x:n v="9"/>
    <x:n v="46"/>
    <x:s v="No"/>
    <x:n v="0"/>
  </x:r>
  <x:r>
    <x:s v="CUST-0448"/>
    <x:x v="2"/>
    <x:x v="0"/>
    <x:s v="Education"/>
    <x:s v="11-50"/>
    <x:n v="31"/>
    <x:n v="1094.5"/>
    <x:s v="Paid Ads"/>
    <x:s v="North America"/>
    <x:d v="2025-01-01T00:00:00"/>
    <x:s v="No"/>
    <x:m/>
    <x:s v=""/>
    <x:n v="1"/>
    <x:n v="9"/>
    <x:n v="69"/>
    <x:s v="No"/>
    <x:n v="0"/>
  </x:r>
  <x:r>
    <x:s v="CUST-0449"/>
    <x:x v="2"/>
    <x:x v="0"/>
    <x:s v="Healthcare"/>
    <x:s v="500+"/>
    <x:n v="71"/>
    <x:n v="2288.5"/>
    <x:s v="Paid Ads"/>
    <x:s v="Europe"/>
    <x:d v="2024-02-12T00:00:00"/>
    <x:s v="Yes"/>
    <x:d v="2024-03-09T00:00:00"/>
    <x:s v="No Longer Needed"/>
    <x:n v="7"/>
    <x:n v="2"/>
    <x:n v="24"/>
    <x:s v="No"/>
    <x:n v="1"/>
  </x:r>
  <x:r>
    <x:s v="CUST-0450"/>
    <x:x v="0"/>
    <x:x v="1"/>
    <x:s v="Retail"/>
    <x:s v="11-50"/>
    <x:n v="8"/>
    <x:n v="137.66"/>
    <x:s v="Partner"/>
    <x:s v="North America"/>
    <x:d v="2025-12-28T00:00:00"/>
    <x:s v="No"/>
    <x:m/>
    <x:s v=""/>
    <x:n v="0"/>
    <x:n v="8"/>
    <x:n v="38"/>
    <x:s v="No"/>
    <x:n v="0"/>
  </x:r>
  <x:r>
    <x:s v="CUST-0451"/>
    <x:x v="2"/>
    <x:x v="0"/>
    <x:s v="Legal"/>
    <x:s v="11-50"/>
    <x:n v="27"/>
    <x:n v="975.1"/>
    <x:s v="Partner"/>
    <x:s v="North America"/>
    <x:d v="2023-03-01T00:00:00"/>
    <x:s v="No"/>
    <x:m/>
    <x:s v=""/>
    <x:n v="3"/>
    <x:n v="4"/>
    <x:n v="89"/>
    <x:s v="No"/>
    <x:n v="0"/>
  </x:r>
  <x:r>
    <x:s v="CUST-0452"/>
    <x:x v="0"/>
    <x:x v="0"/>
    <x:s v="Technology"/>
    <x:s v="11-50"/>
    <x:n v="12"/>
    <x:n v="209.35"/>
    <x:s v="Paid Ads"/>
    <x:s v="North America"/>
    <x:d v="2025-06-13T00:00:00"/>
    <x:s v="No"/>
    <x:m/>
    <x:s v=""/>
    <x:n v="2"/>
    <x:n v="7"/>
    <x:n v="82"/>
    <x:s v="No"/>
    <x:n v="0"/>
  </x:r>
  <x:r>
    <x:s v="CUST-0453"/>
    <x:x v="1"/>
    <x:x v="0"/>
    <x:s v="Retail"/>
    <x:s v="1-10"/>
    <x:n v="1"/>
    <x:n v="29"/>
    <x:s v="Direct Sales"/>
    <x:s v="Latin America"/>
    <x:d v="2023-09-24T00:00:00"/>
    <x:s v="Yes"/>
    <x:d v="2023-10-21T00:00:00"/>
    <x:s v="Company Closed"/>
    <x:n v="2"/>
    <x:n v="1"/>
    <x:n v="27"/>
    <x:s v="No"/>
    <x:n v="1"/>
  </x:r>
  <x:r>
    <x:s v="CUST-0454"/>
    <x:x v="1"/>
    <x:x v="0"/>
    <x:s v="Media"/>
    <x:s v="1-10"/>
    <x:n v="1"/>
    <x:n v="29"/>
    <x:s v="Paid Ads"/>
    <x:s v="Europe"/>
    <x:d v="2025-07-09T00:00:00"/>
    <x:s v="Yes"/>
    <x:d v="2025-11-27T00:00:00"/>
    <x:s v="Budget Cuts"/>
    <x:n v="12"/>
    <x:n v="3"/>
    <x:n v="49"/>
    <x:s v="No"/>
    <x:n v="1"/>
  </x:r>
  <x:r>
    <x:s v="CUST-0455"/>
    <x:x v="1"/>
    <x:x v="0"/>
    <x:s v="Healthcare"/>
    <x:s v="11-50"/>
    <x:n v="8"/>
    <x:n v="59.45"/>
    <x:s v="Organic Search"/>
    <x:s v="Europe"/>
    <x:d v="2025-08-31T00:00:00"/>
    <x:s v="No"/>
    <x:m/>
    <x:s v=""/>
    <x:n v="4"/>
    <x:n v="7"/>
    <x:n v="34"/>
    <x:s v="No"/>
    <x:n v="0"/>
  </x:r>
  <x:r>
    <x:s v="CUST-0456"/>
    <x:x v="0"/>
    <x:x v="1"/>
    <x:s v="Education"/>
    <x:s v="1-10"/>
    <x:n v="4"/>
    <x:n v="97.37"/>
    <x:s v="Direct Sales"/>
    <x:s v="North America"/>
    <x:d v="2023-05-17T00:00:00"/>
    <x:s v="No"/>
    <x:m/>
    <x:s v=""/>
    <x:n v="6"/>
    <x:n v="8"/>
    <x:n v="53"/>
    <x:s v="No"/>
    <x:n v="0"/>
  </x:r>
  <x:r>
    <x:s v="CUST-0457"/>
    <x:x v="0"/>
    <x:x v="1"/>
    <x:s v="Legal"/>
    <x:s v="51-200"/>
    <x:n v="39"/>
    <x:n v="449.9"/>
    <x:s v="Direct Sales"/>
    <x:s v="Asia Pacific"/>
    <x:d v="2024-03-29T00:00:00"/>
    <x:s v="No"/>
    <x:m/>
    <x:s v=""/>
    <x:n v="0"/>
    <x:n v="5"/>
    <x:n v="58"/>
    <x:s v="No"/>
    <x:n v="0"/>
  </x:r>
  <x:r>
    <x:s v="CUST-0458"/>
    <x:x v="2"/>
    <x:x v="1"/>
    <x:s v="Manufacturing"/>
    <x:s v="201-500"/>
    <x:n v="73"/>
    <x:n v="1995.97"/>
    <x:s v="Referral"/>
    <x:s v="North America"/>
    <x:d v="2025-04-02T00:00:00"/>
    <x:s v="No"/>
    <x:m/>
    <x:s v=""/>
    <x:n v="12"/>
    <x:n v="1"/>
    <x:n v="15"/>
    <x:s v="Yes"/>
    <x:n v="0"/>
  </x:r>
  <x:r>
    <x:s v="CUST-0459"/>
    <x:x v="0"/>
    <x:x v="0"/>
    <x:s v="Real Estate"/>
    <x:s v="11-50"/>
    <x:n v="7"/>
    <x:n v="150.1"/>
    <x:s v="Partner"/>
    <x:s v="North America"/>
    <x:d v="2022-12-20T00:00:00"/>
    <x:s v="Yes"/>
    <x:d v="2023-11-02T00:00:00"/>
    <x:s v="Missing Features"/>
    <x:n v="5"/>
    <x:n v="2"/>
    <x:n v="12"/>
    <x:s v="No"/>
    <x:n v="1"/>
  </x:r>
  <x:r>
    <x:s v="CUST-0460"/>
    <x:x v="2"/>
    <x:x v="1"/>
    <x:s v="Finance"/>
    <x:s v="11-50"/>
    <x:n v="33"/>
    <x:n v="981.07"/>
    <x:s v="Partner"/>
    <x:s v="Asia Pacific"/>
    <x:d v="2023-02-07T00:00:00"/>
    <x:s v="No"/>
    <x:m/>
    <x:s v=""/>
    <x:n v="1"/>
    <x:n v="8"/>
    <x:n v="89"/>
    <x:s v="No"/>
    <x:n v="0"/>
  </x:r>
  <x:r>
    <x:s v="CUST-0461"/>
    <x:x v="1"/>
    <x:x v="0"/>
    <x:s v="Education"/>
    <x:s v="1-10"/>
    <x:n v="3"/>
    <x:n v="37.7"/>
    <x:s v="Partner"/>
    <x:s v="Europe"/>
    <x:d v="2025-01-03T00:00:00"/>
    <x:s v="No"/>
    <x:m/>
    <x:s v=""/>
    <x:n v="10"/>
    <x:n v="7"/>
    <x:n v="60"/>
    <x:s v="No"/>
    <x:n v="0"/>
  </x:r>
  <x:r>
    <x:s v="CUST-0462"/>
    <x:x v="0"/>
    <x:x v="1"/>
    <x:s v="Education"/>
    <x:s v="1-10"/>
    <x:n v="5"/>
    <x:n v="107.44"/>
    <x:s v="Direct Sales"/>
    <x:s v="Europe"/>
    <x:d v="2025-06-09T00:00:00"/>
    <x:s v="No"/>
    <x:m/>
    <x:s v=""/>
    <x:n v="2"/>
    <x:n v="9"/>
    <x:n v="82"/>
    <x:s v="No"/>
    <x:n v="0"/>
  </x:r>
  <x:r>
    <x:s v="CUST-0463"/>
    <x:x v="0"/>
    <x:x v="0"/>
    <x:s v="Education"/>
    <x:s v="11-50"/>
    <x:n v="5"/>
    <x:n v="126.4"/>
    <x:s v="Social Media"/>
    <x:s v="North America"/>
    <x:d v="2022-07-06T00:00:00"/>
    <x:s v="Yes"/>
    <x:d v="2022-10-08T00:00:00"/>
    <x:s v="No Longer Needed"/>
    <x:n v="1"/>
    <x:n v="2"/>
    <x:n v="17"/>
    <x:s v="No"/>
    <x:n v="1"/>
  </x:r>
  <x:r>
    <x:s v="CUST-0464"/>
    <x:x v="1"/>
    <x:x v="1"/>
    <x:s v="Real Estate"/>
    <x:s v="51-200"/>
    <x:n v="59"/>
    <x:n v="239.1"/>
    <x:s v="Paid Ads"/>
    <x:s v="North America"/>
    <x:d v="2025-10-18T00:00:00"/>
    <x:s v="No"/>
    <x:m/>
    <x:s v=""/>
    <x:n v="12"/>
    <x:n v="9"/>
    <x:n v="72"/>
    <x:s v="No"/>
    <x:n v="0"/>
  </x:r>
  <x:r>
    <x:s v="CUST-0465"/>
    <x:x v="0"/>
    <x:x v="0"/>
    <x:s v="Education"/>
    <x:s v="1-10"/>
    <x:n v="1"/>
    <x:n v="79"/>
    <x:s v="Direct Sales"/>
    <x:s v="Europe"/>
    <x:d v="2025-12-24T00:00:00"/>
    <x:s v="No"/>
    <x:m/>
    <x:s v=""/>
    <x:n v="11"/>
    <x:n v="5"/>
    <x:n v="84"/>
    <x:s v="No"/>
    <x:n v="0"/>
  </x:r>
  <x:r>
    <x:s v="CUST-0466"/>
    <x:x v="2"/>
    <x:x v="1"/>
    <x:s v="Finance"/>
    <x:s v="51-200"/>
    <x:n v="35"/>
    <x:n v="1031.82"/>
    <x:s v="Paid Ads"/>
    <x:s v="Europe"/>
    <x:d v="2024-04-27T00:00:00"/>
    <x:s v="No"/>
    <x:m/>
    <x:s v=""/>
    <x:n v="4"/>
    <x:n v="8"/>
    <x:n v="41"/>
    <x:s v="No"/>
    <x:n v="0"/>
  </x:r>
  <x:r>
    <x:s v="CUST-0467"/>
    <x:x v="1"/>
    <x:x v="1"/>
    <x:s v="Healthcare"/>
    <x:s v="201-500"/>
    <x:n v="112"/>
    <x:n v="435.07"/>
    <x:s v="Referral"/>
    <x:s v="Latin America"/>
    <x:d v="2022-10-27T00:00:00"/>
    <x:s v="Yes"/>
    <x:d v="2023-06-19T00:00:00"/>
    <x:s v="Switched Competitor"/>
    <x:n v="12"/>
    <x:n v="1"/>
    <x:n v="34"/>
    <x:s v="No"/>
    <x:n v="1"/>
  </x:r>
  <x:r>
    <x:s v="CUST-0468"/>
    <x:x v="3"/>
    <x:x v="1"/>
    <x:s v="Technology"/>
    <x:s v="11-50"/>
    <x:n v="10"/>
    <x:n v="996.75"/>
    <x:s v="Referral"/>
    <x:s v="North America"/>
    <x:d v="2024-05-12T00:00:00"/>
    <x:s v="No"/>
    <x:m/>
    <x:s v=""/>
    <x:n v="3"/>
    <x:n v="1"/>
    <x:n v="64"/>
    <x:s v="No"/>
    <x:n v="0"/>
  </x:r>
  <x:r>
    <x:s v="CUST-0469"/>
    <x:x v="2"/>
    <x:x v="1"/>
    <x:s v="Media"/>
    <x:s v="1-10"/>
    <x:n v="3"/>
    <x:n v="219.9"/>
    <x:s v="Paid Ads"/>
    <x:s v="Europe"/>
    <x:d v="2025-12-19T00:00:00"/>
    <x:s v="No"/>
    <x:m/>
    <x:s v=""/>
    <x:n v="8"/>
    <x:n v="2"/>
    <x:n v="45"/>
    <x:s v="No"/>
    <x:n v="0"/>
  </x:r>
  <x:r>
    <x:s v="CUST-0470"/>
    <x:x v="0"/>
    <x:x v="0"/>
    <x:s v="Real Estate"/>
    <x:s v="1-10"/>
    <x:n v="5"/>
    <x:n v="126.4"/>
    <x:s v="Direct Sales"/>
    <x:s v="North America"/>
    <x:d v="2024-10-12T00:00:00"/>
    <x:s v="Yes"/>
    <x:d v="2025-04-09T00:00:00"/>
    <x:s v="Budget Cuts"/>
    <x:n v="4"/>
    <x:n v="1"/>
    <x:n v="21"/>
    <x:s v="No"/>
    <x:n v="1"/>
  </x:r>
  <x:r>
    <x:s v="CUST-0471"/>
    <x:x v="2"/>
    <x:x v="1"/>
    <x:s v="Real Estate"/>
    <x:s v="51-200"/>
    <x:n v="62"/>
    <x:n v="1716.87"/>
    <x:s v="Paid Ads"/>
    <x:s v="North America"/>
    <x:d v="2023-09-22T00:00:00"/>
    <x:s v="Yes"/>
    <x:d v="2025-06-03T00:00:00"/>
    <x:s v="No Longer Needed"/>
    <x:n v="10"/>
    <x:n v="4"/>
    <x:n v="28"/>
    <x:s v="No"/>
    <x:n v="1"/>
  </x:r>
  <x:r>
    <x:s v="CUST-0472"/>
    <x:x v="1"/>
    <x:x v="1"/>
    <x:s v="Real Estate"/>
    <x:s v="11-50"/>
    <x:n v="5"/>
    <x:n v="39.44"/>
    <x:s v="Partner"/>
    <x:s v="Asia Pacific"/>
    <x:d v="2022-08-31T00:00:00"/>
    <x:s v="Yes"/>
    <x:d v="2022-12-25T00:00:00"/>
    <x:s v="Poor Support"/>
    <x:n v="12"/>
    <x:n v="1"/>
    <x:n v="44"/>
    <x:s v="No"/>
    <x:n v="1"/>
  </x:r>
  <x:r>
    <x:s v="CUST-0473"/>
    <x:x v="1"/>
    <x:x v="0"/>
    <x:s v="Finance"/>
    <x:s v="51-200"/>
    <x:n v="48"/>
    <x:n v="233.45"/>
    <x:s v="Direct Sales"/>
    <x:s v="North America"/>
    <x:d v="2025-07-04T00:00:00"/>
    <x:s v="No"/>
    <x:m/>
    <x:s v=""/>
    <x:n v="0"/>
    <x:n v="7"/>
    <x:n v="40"/>
    <x:s v="No"/>
    <x:n v="0"/>
  </x:r>
  <x:r>
    <x:s v="CUST-0474"/>
    <x:x v="0"/>
    <x:x v="1"/>
    <x:s v="Real Estate"/>
    <x:s v="11-50"/>
    <x:n v="7"/>
    <x:n v="127.59"/>
    <x:s v="Referral"/>
    <x:s v="Europe"/>
    <x:d v="2022-11-15T00:00:00"/>
    <x:s v="Yes"/>
    <x:d v="2023-02-07T00:00:00"/>
    <x:s v="Missing Features"/>
    <x:n v="1"/>
    <x:n v="5"/>
    <x:n v="45"/>
    <x:s v="No"/>
    <x:n v="1"/>
  </x:r>
  <x:r>
    <x:s v="CUST-0475"/>
    <x:x v="0"/>
    <x:x v="1"/>
    <x:s v="Real Estate"/>
    <x:s v="1-10"/>
    <x:n v="1"/>
    <x:n v="67.15"/>
    <x:s v="Paid Ads"/>
    <x:s v="North America"/>
    <x:d v="2025-12-28T00:00:00"/>
    <x:s v="No"/>
    <x:m/>
    <x:s v=""/>
    <x:n v="11"/>
    <x:n v="6"/>
    <x:n v="30"/>
    <x:s v="No"/>
    <x:n v="0"/>
  </x:r>
  <x:r>
    <x:s v="CUST-0476"/>
    <x:x v="0"/>
    <x:x v="1"/>
    <x:s v="Real Estate"/>
    <x:s v="1-10"/>
    <x:n v="2"/>
    <x:n v="77.22"/>
    <x:s v="Organic Search"/>
    <x:s v="Latin America"/>
    <x:d v="2025-06-14T00:00:00"/>
    <x:s v="No"/>
    <x:m/>
    <x:s v=""/>
    <x:n v="1"/>
    <x:n v="3"/>
    <x:n v="15"/>
    <x:s v="No"/>
    <x:n v="0"/>
  </x:r>
  <x:r>
    <x:s v="CUST-0477"/>
    <x:x v="0"/>
    <x:x v="0"/>
    <x:s v="Technology"/>
    <x:s v="51-200"/>
    <x:n v="67"/>
    <x:n v="861.1"/>
    <x:s v="Direct Sales"/>
    <x:s v="Asia Pacific"/>
    <x:d v="2025-06-14T00:00:00"/>
    <x:s v="No"/>
    <x:m/>
    <x:s v=""/>
    <x:n v="11"/>
    <x:n v="8"/>
    <x:n v="76"/>
    <x:s v="No"/>
    <x:n v="0"/>
  </x:r>
  <x:r>
    <x:s v="CUST-0478"/>
    <x:x v="2"/>
    <x:x v="0"/>
    <x:s v="Retail"/>
    <x:s v="1-10"/>
    <x:n v="3"/>
    <x:n v="258.7"/>
    <x:s v="Paid Ads"/>
    <x:s v="Europe"/>
    <x:d v="2022-02-17T00:00:00"/>
    <x:s v="Yes"/>
    <x:d v="2024-06-28T00:00:00"/>
    <x:s v="Poor Support"/>
    <x:n v="1"/>
    <x:n v="1"/>
    <x:n v="11"/>
    <x:s v="No"/>
    <x:n v="1"/>
  </x:r>
  <x:r>
    <x:s v="CUST-0479"/>
    <x:x v="1"/>
    <x:x v="0"/>
    <x:s v="Healthcare"/>
    <x:s v="11-50"/>
    <x:n v="10"/>
    <x:n v="68.15"/>
    <x:s v="Paid Ads"/>
    <x:s v="North America"/>
    <x:d v="2023-11-06T00:00:00"/>
    <x:s v="Yes"/>
    <x:d v="2025-03-21T00:00:00"/>
    <x:s v="Missing Features"/>
    <x:n v="2"/>
    <x:n v="1"/>
    <x:n v="21"/>
    <x:s v="No"/>
    <x:n v="1"/>
  </x:r>
  <x:r>
    <x:s v="CUST-0480"/>
    <x:x v="2"/>
    <x:x v="0"/>
    <x:s v="Manufacturing"/>
    <x:s v="11-50"/>
    <x:n v="5"/>
    <x:n v="318.4"/>
    <x:s v="Organic Search"/>
    <x:s v="Europe"/>
    <x:d v="2023-02-08T00:00:00"/>
    <x:s v="Yes"/>
    <x:d v="2023-02-16T00:00:00"/>
    <x:s v="Company Closed"/>
    <x:n v="8"/>
    <x:n v="6"/>
    <x:n v="34"/>
    <x:s v="No"/>
    <x:n v="1"/>
  </x:r>
  <x:r>
    <x:s v="CUST-0481"/>
    <x:x v="3"/>
    <x:x v="0"/>
    <x:s v="Legal"/>
    <x:s v="201-500"/>
    <x:n v="112"/>
    <x:n v="8807.35"/>
    <x:s v="Organic Search"/>
    <x:s v="Europe"/>
    <x:d v="2024-06-21T00:00:00"/>
    <x:s v="No"/>
    <x:m/>
    <x:s v=""/>
    <x:n v="2"/>
    <x:n v="2"/>
    <x:n v="61"/>
    <x:s v="No"/>
    <x:n v="0"/>
  </x:r>
  <x:r>
    <x:s v="CUST-0482"/>
    <x:x v="0"/>
    <x:x v="1"/>
    <x:s v="Education"/>
    <x:s v="11-50"/>
    <x:n v="27"/>
    <x:n v="329.03"/>
    <x:s v="Paid Ads"/>
    <x:s v="North America"/>
    <x:d v="2024-10-02T00:00:00"/>
    <x:s v="No"/>
    <x:m/>
    <x:s v=""/>
    <x:n v="8"/>
    <x:n v="6"/>
    <x:n v="80"/>
    <x:s v="No"/>
    <x:n v="0"/>
  </x:r>
  <x:r>
    <x:s v="CUST-0483"/>
    <x:x v="1"/>
    <x:x v="1"/>
    <x:s v="Education"/>
    <x:s v="11-50"/>
    <x:n v="6"/>
    <x:n v="43.14"/>
    <x:s v="Paid Ads"/>
    <x:s v="North America"/>
    <x:d v="2022-02-22T00:00:00"/>
    <x:s v="Yes"/>
    <x:d v="2022-08-11T00:00:00"/>
    <x:s v="Company Closed"/>
    <x:n v="6"/>
    <x:n v="1"/>
    <x:n v="21"/>
    <x:s v="No"/>
    <x:n v="1"/>
  </x:r>
  <x:r>
    <x:s v="CUST-0484"/>
    <x:x v="2"/>
    <x:x v="0"/>
    <x:s v="Legal"/>
    <x:s v="11-50"/>
    <x:n v="29"/>
    <x:n v="1034.8"/>
    <x:s v="Organic Search"/>
    <x:s v="Europe"/>
    <x:d v="2023-05-26T00:00:00"/>
    <x:s v="Yes"/>
    <x:d v="2023-06-18T00:00:00"/>
    <x:s v="Poor Support"/>
    <x:n v="7"/>
    <x:n v="3"/>
    <x:n v="32"/>
    <x:s v="No"/>
    <x:n v="1"/>
  </x:r>
  <x:r>
    <x:s v="CUST-0485"/>
    <x:x v="0"/>
    <x:x v="1"/>
    <x:s v="Finance"/>
    <x:s v="1-10"/>
    <x:n v="2"/>
    <x:n v="77.22"/>
    <x:s v="Organic Search"/>
    <x:s v="Europe"/>
    <x:d v="2023-09-13T00:00:00"/>
    <x:s v="Yes"/>
    <x:d v="2025-03-29T00:00:00"/>
    <x:s v="Budget Cuts"/>
    <x:n v="7"/>
    <x:n v="1"/>
    <x:n v="30"/>
    <x:s v="No"/>
    <x:n v="1"/>
  </x:r>
  <x:r>
    <x:s v="CUST-0486"/>
    <x:x v="1"/>
    <x:x v="0"/>
    <x:s v="Healthcare"/>
    <x:s v="51-200"/>
    <x:n v="25"/>
    <x:n v="133.4"/>
    <x:s v="Partner"/>
    <x:s v="Asia Pacific"/>
    <x:d v="2024-11-29T00:00:00"/>
    <x:s v="Yes"/>
    <x:d v="2025-01-28T00:00:00"/>
    <x:s v="Budget Cuts"/>
    <x:n v="10"/>
    <x:n v="4"/>
    <x:n v="29"/>
    <x:s v="No"/>
    <x:n v="1"/>
  </x:r>
  <x:r>
    <x:s v="CUST-0487"/>
    <x:x v="1"/>
    <x:x v="0"/>
    <x:s v="Real Estate"/>
    <x:s v="1-10"/>
    <x:n v="7"/>
    <x:n v="55.1"/>
    <x:s v="Social Media"/>
    <x:s v="Europe"/>
    <x:d v="2024-07-12T00:00:00"/>
    <x:s v="Yes"/>
    <x:d v="2025-10-03T00:00:00"/>
    <x:s v="Missing Features"/>
    <x:n v="8"/>
    <x:n v="3"/>
    <x:n v="50"/>
    <x:s v="No"/>
    <x:n v="1"/>
  </x:r>
  <x:r>
    <x:s v="CUST-0488"/>
    <x:x v="2"/>
    <x:x v="1"/>
    <x:s v="Education"/>
    <x:s v="1-10"/>
    <x:n v="7"/>
    <x:n v="321.38"/>
    <x:s v="Partner"/>
    <x:s v="North America"/>
    <x:d v="2022-09-21T00:00:00"/>
    <x:s v="No"/>
    <x:m/>
    <x:s v=""/>
    <x:n v="2"/>
    <x:n v="6"/>
    <x:n v="84"/>
    <x:s v="No"/>
    <x:n v="0"/>
  </x:r>
  <x:r>
    <x:s v="CUST-0489"/>
    <x:x v="0"/>
    <x:x v="0"/>
    <x:s v="Consulting"/>
    <x:s v="11-50"/>
    <x:n v="24"/>
    <x:n v="351.55"/>
    <x:s v="Referral"/>
    <x:s v="Asia Pacific"/>
    <x:d v="2023-07-30T00:00:00"/>
    <x:s v="Yes"/>
    <x:d v="2025-05-02T00:00:00"/>
    <x:s v="No Longer Needed"/>
    <x:n v="15"/>
    <x:n v="5"/>
    <x:n v="26"/>
    <x:s v="No"/>
    <x:n v="1"/>
  </x:r>
  <x:r>
    <x:s v="CUST-0490"/>
    <x:x v="3"/>
    <x:x v="0"/>
    <x:s v="Media"/>
    <x:s v="1-10"/>
    <x:n v="6"/>
    <x:n v="873.25"/>
    <x:s v="Referral"/>
    <x:s v="North America"/>
    <x:d v="2022-03-27T00:00:00"/>
    <x:s v="Yes"/>
    <x:d v="2025-02-22T00:00:00"/>
    <x:s v="Company Closed"/>
    <x:n v="11"/>
    <x:n v="3"/>
    <x:n v="19"/>
    <x:s v="No"/>
    <x:n v="1"/>
  </x:r>
  <x:r>
    <x:s v="CUST-0491"/>
    <x:x v="1"/>
    <x:x v="0"/>
    <x:s v="Manufacturing"/>
    <x:s v="201-500"/>
    <x:n v="121"/>
    <x:n v="551"/>
    <x:s v="Social Media"/>
    <x:s v="Europe"/>
    <x:d v="2024-06-01T00:00:00"/>
    <x:s v="Yes"/>
    <x:d v="2025-04-06T00:00:00"/>
    <x:s v="Price Too High"/>
    <x:n v="2"/>
    <x:n v="6"/>
    <x:n v="23"/>
    <x:s v="No"/>
    <x:n v="1"/>
  </x:r>
  <x:r>
    <x:s v="CUST-0492"/>
    <x:x v="0"/>
    <x:x v="0"/>
    <x:s v="Finance"/>
    <x:s v="1-10"/>
    <x:n v="4"/>
    <x:n v="114.55"/>
    <x:s v="Referral"/>
    <x:s v="Europe"/>
    <x:d v="2022-12-04T00:00:00"/>
    <x:s v="Yes"/>
    <x:d v="2025-03-31T00:00:00"/>
    <x:s v="Company Closed"/>
    <x:n v="15"/>
    <x:n v="1"/>
    <x:n v="27"/>
    <x:s v="No"/>
    <x:n v="1"/>
  </x:r>
  <x:r>
    <x:s v="CUST-0493"/>
    <x:x v="1"/>
    <x:x v="1"/>
    <x:s v="Finance"/>
    <x:s v="51-200"/>
    <x:n v="73"/>
    <x:n v="290.87"/>
    <x:s v="Organic Search"/>
    <x:s v="North America"/>
    <x:d v="2025-10-06T00:00:00"/>
    <x:s v="No"/>
    <x:m/>
    <x:s v=""/>
    <x:n v="3"/>
    <x:n v="7"/>
    <x:n v="57"/>
    <x:s v="No"/>
    <x:n v="0"/>
  </x:r>
  <x:r>
    <x:s v="CUST-0494"/>
    <x:x v="2"/>
    <x:x v="0"/>
    <x:s v="Retail"/>
    <x:s v="500+"/>
    <x:n v="199"/>
    <x:n v="6109.3"/>
    <x:s v="Partner"/>
    <x:s v="North America"/>
    <x:d v="2022-05-30T00:00:00"/>
    <x:s v="Yes"/>
    <x:d v="2025-09-19T00:00:00"/>
    <x:s v="Missing Features"/>
    <x:n v="13"/>
    <x:n v="4"/>
    <x:n v="26"/>
    <x:s v="No"/>
    <x:n v="1"/>
  </x:r>
  <x:r>
    <x:s v="CUST-0495"/>
    <x:x v="2"/>
    <x:x v="0"/>
    <x:s v="Healthcare"/>
    <x:s v="11-50"/>
    <x:n v="21"/>
    <x:n v="796"/>
    <x:s v="Paid Ads"/>
    <x:s v="Asia Pacific"/>
    <x:d v="2022-08-10T00:00:00"/>
    <x:s v="Yes"/>
    <x:d v="2023-12-09T00:00:00"/>
    <x:s v="No Longer Needed"/>
    <x:n v="4"/>
    <x:n v="1"/>
    <x:n v="13"/>
    <x:s v="No"/>
    <x:n v="1"/>
  </x:r>
  <x:r>
    <x:s v="CUST-0496"/>
    <x:x v="1"/>
    <x:x v="1"/>
    <x:s v="Finance"/>
    <x:s v="1-10"/>
    <x:n v="4"/>
    <x:n v="35.74"/>
    <x:s v="Referral"/>
    <x:s v="Europe"/>
    <x:d v="2023-06-27T00:00:00"/>
    <x:s v="Yes"/>
    <x:d v="2023-09-11T00:00:00"/>
    <x:s v="Price Too High"/>
    <x:n v="1"/>
    <x:n v="1"/>
    <x:n v="39"/>
    <x:s v="No"/>
    <x:n v="1"/>
  </x:r>
  <x:r>
    <x:s v="CUST-0497"/>
    <x:x v="3"/>
    <x:x v="0"/>
    <x:s v="Legal"/>
    <x:s v="1-10"/>
    <x:n v="4"/>
    <x:n v="723.55"/>
    <x:s v="Paid Ads"/>
    <x:s v="North America"/>
    <x:d v="2024-02-03T00:00:00"/>
    <x:s v="No"/>
    <x:m/>
    <x:s v=""/>
    <x:n v="0"/>
    <x:n v="6"/>
    <x:n v="47"/>
    <x:s v="No"/>
    <x:n v="0"/>
  </x:r>
  <x:r>
    <x:s v="CUST-0498"/>
    <x:x v="2"/>
    <x:x v="1"/>
    <x:s v="Education"/>
    <x:s v="11-50"/>
    <x:n v="5"/>
    <x:n v="270.64"/>
    <x:s v="Social Media"/>
    <x:s v="Europe"/>
    <x:d v="2025-12-24T00:00:00"/>
    <x:s v="No"/>
    <x:m/>
    <x:s v=""/>
    <x:n v="3"/>
    <x:n v="5"/>
    <x:n v="48"/>
    <x:s v="No"/>
    <x:n v="0"/>
  </x:r>
  <x:r>
    <x:s v="CUST-0499"/>
    <x:x v="2"/>
    <x:x v="0"/>
    <x:s v="Education"/>
    <x:s v="11-50"/>
    <x:n v="15"/>
    <x:n v="616.9"/>
    <x:s v="Referral"/>
    <x:s v="North America"/>
    <x:d v="2025-03-06T00:00:00"/>
    <x:s v="No"/>
    <x:m/>
    <x:s v=""/>
    <x:n v="11"/>
    <x:n v="10"/>
    <x:n v="37"/>
    <x:s v="No"/>
    <x:n v="0"/>
  </x:r>
  <x:r>
    <x:s v="CUST-0500"/>
    <x:x v="0"/>
    <x:x v="0"/>
    <x:s v="Media"/>
    <x:s v="51-200"/>
    <x:n v="71"/>
    <x:n v="908.5"/>
    <x:s v="Referral"/>
    <x:s v="North America"/>
    <x:d v="2025-11-28T00:00:00"/>
    <x:s v="No"/>
    <x:m/>
    <x:s v=""/>
    <x:n v="4"/>
    <x:n v="5"/>
    <x:n v="70"/>
    <x:s v="No"/>
    <x:n v="0"/>
  </x:r>
  <x:r>
    <x:s v="CUST-0501"/>
    <x:x v="1"/>
    <x:x v="1"/>
    <x:s v="Education"/>
    <x:s v="500+"/>
    <x:n v="144"/>
    <x:n v="553.39"/>
    <x:s v="Partner"/>
    <x:s v="North America"/>
    <x:d v="2023-07-30T00:00:00"/>
    <x:s v="Yes"/>
    <x:d v="2024-01-28T00:00:00"/>
    <x:s v="Company Closed"/>
    <x:n v="6"/>
    <x:n v="3"/>
    <x:n v="45"/>
    <x:s v="No"/>
    <x:n v="1"/>
  </x:r>
  <x:r>
    <x:s v="CUST-0502"/>
    <x:x v="0"/>
    <x:x v="1"/>
    <x:s v="Retail"/>
    <x:s v="11-50"/>
    <x:n v="32"/>
    <x:n v="379.4"/>
    <x:s v="Referral"/>
    <x:s v="Europe"/>
    <x:d v="2024-10-28T00:00:00"/>
    <x:s v="No"/>
    <x:m/>
    <x:s v=""/>
    <x:n v="5"/>
    <x:n v="9"/>
    <x:n v="36"/>
    <x:s v="No"/>
    <x:n v="0"/>
  </x:r>
  <x:r>
    <x:s v="CUST-0503"/>
    <x:x v="3"/>
    <x:x v="1"/>
    <x:s v="Real Estate"/>
    <x:s v="11-50"/>
    <x:n v="23"/>
    <x:n v="1823.84"/>
    <x:s v="Organic Search"/>
    <x:s v="Latin America"/>
    <x:d v="2025-01-20T00:00:00"/>
    <x:s v="No"/>
    <x:m/>
    <x:s v=""/>
    <x:n v="10"/>
    <x:n v="7"/>
    <x:n v="16"/>
    <x:s v="No"/>
    <x:n v="0"/>
  </x:r>
  <x:r>
    <x:s v="CUST-0504"/>
    <x:x v="1"/>
    <x:x v="0"/>
    <x:s v="Retail"/>
    <x:s v="11-50"/>
    <x:n v="15"/>
    <x:n v="89.9"/>
    <x:s v="Organic Search"/>
    <x:s v="Europe"/>
    <x:d v="2025-04-12T00:00:00"/>
    <x:s v="Yes"/>
    <x:d v="2025-05-08T00:00:00"/>
    <x:s v="Budget Cuts"/>
    <x:n v="14"/>
    <x:n v="3"/>
    <x:n v="26"/>
    <x:s v="No"/>
    <x:n v="1"/>
  </x:r>
  <x:r>
    <x:s v="CUST-0505"/>
    <x:x v="2"/>
    <x:x v="0"/>
    <x:s v="Technology"/>
    <x:s v="51-200"/>
    <x:n v="49"/>
    <x:n v="1631.8"/>
    <x:s v="Referral"/>
    <x:s v="North America"/>
    <x:d v="2022-05-12T00:00:00"/>
    <x:s v="Yes"/>
    <x:d v="2023-08-04T00:00:00"/>
    <x:s v="Budget Cuts"/>
    <x:n v="10"/>
    <x:n v="6"/>
    <x:n v="16"/>
    <x:s v="No"/>
    <x:n v="1"/>
  </x:r>
  <x:r>
    <x:s v="CUST-0506"/>
    <x:x v="1"/>
    <x:x v="0"/>
    <x:s v="Technology"/>
    <x:s v="11-50"/>
    <x:n v="26"/>
    <x:n v="137.75"/>
    <x:s v="Organic Search"/>
    <x:s v="Latin America"/>
    <x:d v="2024-11-08T00:00:00"/>
    <x:s v="Yes"/>
    <x:d v="2025-08-25T00:00:00"/>
    <x:s v="No Longer Needed"/>
    <x:n v="12"/>
    <x:n v="2"/>
    <x:n v="26"/>
    <x:s v="No"/>
    <x:n v="1"/>
  </x:r>
  <x:r>
    <x:s v="CUST-0507"/>
    <x:x v="2"/>
    <x:x v="1"/>
    <x:s v="Manufacturing"/>
    <x:s v="11-50"/>
    <x:n v="35"/>
    <x:n v="1031.82"/>
    <x:s v="Partner"/>
    <x:s v="North America"/>
    <x:d v="2025-04-21T00:00:00"/>
    <x:s v="No"/>
    <x:m/>
    <x:s v=""/>
    <x:n v="2"/>
    <x:n v="6"/>
    <x:n v="70"/>
    <x:s v="Yes"/>
    <x:n v="0"/>
  </x:r>
  <x:r>
    <x:s v="CUST-0508"/>
    <x:x v="1"/>
    <x:x v="1"/>
    <x:s v="Finance"/>
    <x:s v="51-200"/>
    <x:n v="54"/>
    <x:n v="220.62"/>
    <x:s v="Referral"/>
    <x:s v="Asia Pacific"/>
    <x:d v="2022-03-10T00:00:00"/>
    <x:s v="Yes"/>
    <x:d v="2022-11-09T00:00:00"/>
    <x:s v="Company Closed"/>
    <x:n v="3"/>
    <x:n v="2"/>
    <x:n v="33"/>
    <x:s v="No"/>
    <x:n v="1"/>
  </x:r>
  <x:r>
    <x:s v="CUST-0509"/>
    <x:x v="1"/>
    <x:x v="0"/>
    <x:s v="Education"/>
    <x:s v="500+"/>
    <x:n v="56"/>
    <x:n v="268.25"/>
    <x:s v="Referral"/>
    <x:s v="Latin America"/>
    <x:d v="2023-05-12T00:00:00"/>
    <x:s v="Yes"/>
    <x:d v="2023-07-04T00:00:00"/>
    <x:s v="Switched Competitor"/>
    <x:n v="12"/>
    <x:n v="2"/>
    <x:n v="17"/>
    <x:s v="No"/>
    <x:n v="1"/>
  </x:r>
  <x:r>
    <x:s v="CUST-0510"/>
    <x:x v="2"/>
    <x:x v="0"/>
    <x:s v="Education"/>
    <x:s v="11-50"/>
    <x:n v="27"/>
    <x:n v="975.1"/>
    <x:s v="Referral"/>
    <x:s v="Asia Pacific"/>
    <x:d v="2024-08-26T00:00:00"/>
    <x:s v="Yes"/>
    <x:d v="2025-04-07T00:00:00"/>
    <x:s v="Switched Competitor"/>
    <x:n v="9"/>
    <x:n v="2"/>
    <x:n v="24"/>
    <x:s v="No"/>
    <x:n v="1"/>
  </x:r>
  <x:r>
    <x:s v="CUST-0511"/>
    <x:x v="0"/>
    <x:x v="0"/>
    <x:s v="Education"/>
    <x:s v="11-50"/>
    <x:n v="25"/>
    <x:n v="363.4"/>
    <x:s v="Paid Ads"/>
    <x:s v="North America"/>
    <x:d v="2025-09-23T00:00:00"/>
    <x:s v="No"/>
    <x:m/>
    <x:s v=""/>
    <x:n v="6"/>
    <x:n v="4"/>
    <x:n v="30"/>
    <x:s v="No"/>
    <x:n v="0"/>
  </x:r>
  <x:r>
    <x:s v="CUST-0512"/>
    <x:x v="1"/>
    <x:x v="1"/>
    <x:s v="Consulting"/>
    <x:s v="51-200"/>
    <x:n v="26"/>
    <x:n v="117.09"/>
    <x:s v="Referral"/>
    <x:s v="Europe"/>
    <x:d v="2023-01-17T00:00:00"/>
    <x:s v="Yes"/>
    <x:d v="2023-06-08T00:00:00"/>
    <x:s v="Budget Cuts"/>
    <x:n v="15"/>
    <x:n v="2"/>
    <x:n v="36"/>
    <x:s v="No"/>
    <x:n v="1"/>
  </x:r>
  <x:r>
    <x:s v="CUST-0513"/>
    <x:x v="0"/>
    <x:x v="1"/>
    <x:s v="Education"/>
    <x:s v="1-10"/>
    <x:n v="8"/>
    <x:n v="137.66"/>
    <x:s v="Referral"/>
    <x:s v="North America"/>
    <x:d v="2024-01-20T00:00:00"/>
    <x:s v="Yes"/>
    <x:d v="2024-02-01T00:00:00"/>
    <x:s v="Company Closed"/>
    <x:n v="6"/>
    <x:n v="5"/>
    <x:n v="13"/>
    <x:s v="No"/>
    <x:n v="1"/>
  </x:r>
  <x:r>
    <x:s v="CUST-0514"/>
    <x:x v="2"/>
    <x:x v="0"/>
    <x:s v="Finance"/>
    <x:s v="201-500"/>
    <x:n v="68"/>
    <x:n v="2198.95"/>
    <x:s v="Paid Ads"/>
    <x:s v="Latin America"/>
    <x:d v="2024-01-27T00:00:00"/>
    <x:s v="Yes"/>
    <x:d v="2024-06-19T00:00:00"/>
    <x:s v="Budget Cuts"/>
    <x:n v="15"/>
    <x:n v="1"/>
    <x:n v="19"/>
    <x:s v="No"/>
    <x:n v="1"/>
  </x:r>
  <x:r>
    <x:s v="CUST-0515"/>
    <x:x v="3"/>
    <x:x v="0"/>
    <x:s v="Finance"/>
    <x:s v="1-10"/>
    <x:n v="2"/>
    <x:n v="573.85"/>
    <x:s v="Organic Search"/>
    <x:s v="North America"/>
    <x:d v="2022-04-01T00:00:00"/>
    <x:s v="No"/>
    <x:m/>
    <x:s v=""/>
    <x:n v="7"/>
    <x:n v="8"/>
    <x:n v="28"/>
    <x:s v="No"/>
    <x:n v="0"/>
  </x:r>
  <x:r>
    <x:s v="CUST-0516"/>
    <x:x v="2"/>
    <x:x v="0"/>
    <x:s v="Education"/>
    <x:s v="51-200"/>
    <x:n v="42"/>
    <x:n v="1422.85"/>
    <x:s v="Partner"/>
    <x:s v="Europe"/>
    <x:d v="2024-11-16T00:00:00"/>
    <x:s v="No"/>
    <x:m/>
    <x:s v=""/>
    <x:n v="10"/>
    <x:n v="2"/>
    <x:n v="17"/>
    <x:s v="No"/>
    <x:n v="0"/>
  </x:r>
  <x:r>
    <x:s v="CUST-0517"/>
    <x:x v="0"/>
    <x:x v="0"/>
    <x:s v="Healthcare"/>
    <x:s v="51-200"/>
    <x:n v="59"/>
    <x:n v="766.3"/>
    <x:s v="Social Media"/>
    <x:s v="Europe"/>
    <x:d v="2024-04-30T00:00:00"/>
    <x:s v="Yes"/>
    <x:d v="2024-10-14T00:00:00"/>
    <x:s v="Company Closed"/>
    <x:n v="12"/>
    <x:n v="4"/>
    <x:n v="42"/>
    <x:s v="No"/>
    <x:n v="1"/>
  </x:r>
  <x:r>
    <x:s v="CUST-0518"/>
    <x:x v="1"/>
    <x:x v="1"/>
    <x:s v="Manufacturing"/>
    <x:s v="11-50"/>
    <x:n v="21"/>
    <x:n v="98.6"/>
    <x:s v="Paid Ads"/>
    <x:s v="North America"/>
    <x:d v="2025-05-20T00:00:00"/>
    <x:s v="No"/>
    <x:m/>
    <x:s v=""/>
    <x:n v="4"/>
    <x:n v="7"/>
    <x:n v="71"/>
    <x:s v="No"/>
    <x:n v="0"/>
  </x:r>
  <x:r>
    <x:s v="CUST-0519"/>
    <x:x v="2"/>
    <x:x v="1"/>
    <x:s v="Media"/>
    <x:s v="11-50"/>
    <x:n v="34"/>
    <x:n v="1006.44"/>
    <x:s v="Paid Ads"/>
    <x:s v="Asia Pacific"/>
    <x:d v="2022-08-18T00:00:00"/>
    <x:s v="No"/>
    <x:m/>
    <x:s v=""/>
    <x:n v="10"/>
    <x:n v="4"/>
    <x:n v="84"/>
    <x:s v="No"/>
    <x:n v="0"/>
  </x:r>
  <x:r>
    <x:s v="CUST-0520"/>
    <x:x v="0"/>
    <x:x v="0"/>
    <x:s v="Healthcare"/>
    <x:s v="11-50"/>
    <x:n v="31"/>
    <x:n v="434.5"/>
    <x:s v="Paid Ads"/>
    <x:s v="Europe"/>
    <x:d v="2022-06-12T00:00:00"/>
    <x:s v="Yes"/>
    <x:d v="2024-04-30T00:00:00"/>
    <x:s v="Switched Competitor"/>
    <x:n v="10"/>
    <x:n v="4"/>
    <x:n v="20"/>
    <x:s v="No"/>
    <x:n v="1"/>
  </x:r>
  <x:r>
    <x:s v="CUST-0521"/>
    <x:x v="3"/>
    <x:x v="0"/>
    <x:s v="Finance"/>
    <x:s v="1-10"/>
    <x:n v="4"/>
    <x:n v="723.55"/>
    <x:s v="Organic Search"/>
    <x:s v="Asia Pacific"/>
    <x:d v="2024-08-01T00:00:00"/>
    <x:s v="Yes"/>
    <x:d v="2025-05-10T00:00:00"/>
    <x:s v="Company Closed"/>
    <x:n v="5"/>
    <x:n v="6"/>
    <x:n v="31"/>
    <x:s v="No"/>
    <x:n v="1"/>
  </x:r>
  <x:r>
    <x:s v="CUST-0522"/>
    <x:x v="3"/>
    <x:x v="0"/>
    <x:s v="Technology"/>
    <x:s v="1-10"/>
    <x:n v="7"/>
    <x:n v="948.1"/>
    <x:s v="Direct Sales"/>
    <x:s v="Asia Pacific"/>
    <x:d v="2023-06-26T00:00:00"/>
    <x:s v="No"/>
    <x:m/>
    <x:s v=""/>
    <x:n v="0"/>
    <x:n v="5"/>
    <x:n v="83"/>
    <x:s v="No"/>
    <x:n v="0"/>
  </x:r>
  <x:r>
    <x:s v="CUST-0523"/>
    <x:x v="2"/>
    <x:x v="0"/>
    <x:s v="Healthcare"/>
    <x:s v="1-10"/>
    <x:n v="7"/>
    <x:n v="378.1"/>
    <x:s v="Partner"/>
    <x:s v="Europe"/>
    <x:d v="2024-01-07T00:00:00"/>
    <x:s v="Yes"/>
    <x:d v="2025-04-26T00:00:00"/>
    <x:s v="Missing Features"/>
    <x:n v="0"/>
    <x:n v="1"/>
    <x:n v="36"/>
    <x:s v="No"/>
    <x:n v="1"/>
  </x:r>
  <x:r>
    <x:s v="CUST-0524"/>
    <x:x v="0"/>
    <x:x v="0"/>
    <x:s v="Media"/>
    <x:s v="51-200"/>
    <x:n v="59"/>
    <x:n v="766.3"/>
    <x:s v="Partner"/>
    <x:s v="North America"/>
    <x:d v="2022-02-07T00:00:00"/>
    <x:s v="No"/>
    <x:m/>
    <x:s v=""/>
    <x:n v="2"/>
    <x:n v="7"/>
    <x:n v="51"/>
    <x:s v="No"/>
    <x:n v="0"/>
  </x:r>
  <x:r>
    <x:s v="CUST-0525"/>
    <x:x v="3"/>
    <x:x v="1"/>
    <x:s v="Manufacturing"/>
    <x:s v="1-10"/>
    <x:n v="1"/>
    <x:n v="424.15"/>
    <x:s v="Paid Ads"/>
    <x:s v="Latin America"/>
    <x:d v="2022-08-01T00:00:00"/>
    <x:s v="No"/>
    <x:m/>
    <x:s v=""/>
    <x:n v="2"/>
    <x:n v="1"/>
    <x:n v="65"/>
    <x:s v="No"/>
    <x:n v="0"/>
  </x:r>
  <x:r>
    <x:s v="CUST-0526"/>
    <x:x v="0"/>
    <x:x v="0"/>
    <x:s v="Real Estate"/>
    <x:s v="1-10"/>
    <x:n v="8"/>
    <x:n v="161.95"/>
    <x:s v="Paid Ads"/>
    <x:s v="Latin America"/>
    <x:d v="2023-05-01T00:00:00"/>
    <x:s v="Yes"/>
    <x:d v="2023-06-24T00:00:00"/>
    <x:s v="Budget Cuts"/>
    <x:n v="3"/>
    <x:n v="1"/>
    <x:n v="27"/>
    <x:s v="No"/>
    <x:n v="1"/>
  </x:r>
  <x:r>
    <x:s v="CUST-0527"/>
    <x:x v="2"/>
    <x:x v="1"/>
    <x:s v="Media"/>
    <x:s v="201-500"/>
    <x:n v="50"/>
    <x:n v="1412.4"/>
    <x:s v="Paid Ads"/>
    <x:s v="Europe"/>
    <x:d v="2025-10-13T00:00:00"/>
    <x:s v="No"/>
    <x:m/>
    <x:s v=""/>
    <x:n v="12"/>
    <x:n v="5"/>
    <x:n v="91"/>
    <x:s v="No"/>
    <x:n v="0"/>
  </x:r>
  <x:r>
    <x:s v="CUST-0528"/>
    <x:x v="1"/>
    <x:x v="0"/>
    <x:s v="Legal"/>
    <x:s v="1-10"/>
    <x:n v="7"/>
    <x:n v="55.1"/>
    <x:s v="Referral"/>
    <x:s v="Asia Pacific"/>
    <x:d v="2023-12-16T00:00:00"/>
    <x:s v="Yes"/>
    <x:d v="2025-08-02T00:00:00"/>
    <x:s v="Company Closed"/>
    <x:n v="6"/>
    <x:n v="3"/>
    <x:n v="36"/>
    <x:s v="No"/>
    <x:n v="1"/>
  </x:r>
  <x:r>
    <x:s v="CUST-0529"/>
    <x:x v="2"/>
    <x:x v="1"/>
    <x:s v="Consulting"/>
    <x:s v="51-200"/>
    <x:n v="49"/>
    <x:n v="1387.03"/>
    <x:s v="Referral"/>
    <x:s v="Latin America"/>
    <x:d v="2025-02-26T00:00:00"/>
    <x:s v="No"/>
    <x:m/>
    <x:s v=""/>
    <x:n v="12"/>
    <x:n v="9"/>
    <x:n v="82"/>
    <x:s v="No"/>
    <x:n v="0"/>
  </x:r>
  <x:r>
    <x:s v="CUST-0530"/>
    <x:x v="3"/>
    <x:x v="0"/>
    <x:s v="Legal"/>
    <x:s v="11-50"/>
    <x:n v="31"/>
    <x:n v="2744.5"/>
    <x:s v="Partner"/>
    <x:s v="Europe"/>
    <x:d v="2023-04-28T00:00:00"/>
    <x:s v="No"/>
    <x:m/>
    <x:s v=""/>
    <x:n v="11"/>
    <x:n v="3"/>
    <x:n v="15"/>
    <x:s v="No"/>
    <x:n v="0"/>
  </x:r>
  <x:r>
    <x:s v="CUST-0531"/>
    <x:x v="0"/>
    <x:x v="0"/>
    <x:s v="Real Estate"/>
    <x:s v="11-50"/>
    <x:n v="20"/>
    <x:n v="304.15"/>
    <x:s v="Organic Search"/>
    <x:s v="North America"/>
    <x:d v="2023-08-12T00:00:00"/>
    <x:s v="No"/>
    <x:m/>
    <x:s v=""/>
    <x:n v="10"/>
    <x:n v="1"/>
    <x:n v="76"/>
    <x:s v="No"/>
    <x:n v="0"/>
  </x:r>
  <x:r>
    <x:s v="CUST-0532"/>
    <x:x v="1"/>
    <x:x v="1"/>
    <x:s v="Legal"/>
    <x:s v="51-200"/>
    <x:n v="67"/>
    <x:n v="268.69"/>
    <x:s v="Partner"/>
    <x:s v="Asia Pacific"/>
    <x:d v="2024-08-19T00:00:00"/>
    <x:s v="No"/>
    <x:m/>
    <x:s v=""/>
    <x:n v="3"/>
    <x:n v="6"/>
    <x:n v="55"/>
    <x:s v="No"/>
    <x:n v="0"/>
  </x:r>
  <x:r>
    <x:s v="CUST-0533"/>
    <x:x v="3"/>
    <x:x v="0"/>
    <x:s v="Healthcare"/>
    <x:s v="201-500"/>
    <x:n v="85"/>
    <x:n v="6786.4"/>
    <x:s v="Direct Sales"/>
    <x:s v="Europe"/>
    <x:d v="2024-07-17T00:00:00"/>
    <x:s v="No"/>
    <x:m/>
    <x:s v=""/>
    <x:n v="4"/>
    <x:n v="7"/>
    <x:n v="54"/>
    <x:s v="Yes"/>
    <x:n v="0"/>
  </x:r>
  <x:r>
    <x:s v="CUST-0534"/>
    <x:x v="1"/>
    <x:x v="0"/>
    <x:s v="Real Estate"/>
    <x:s v="1-10"/>
    <x:n v="2"/>
    <x:n v="33.35"/>
    <x:s v="Organic Search"/>
    <x:s v="Asia Pacific"/>
    <x:d v="2023-06-17T00:00:00"/>
    <x:s v="Yes"/>
    <x:d v="2023-07-27T00:00:00"/>
    <x:s v="Company Closed"/>
    <x:n v="13"/>
    <x:n v="2"/>
    <x:n v="17"/>
    <x:s v="No"/>
    <x:n v="1"/>
  </x:r>
  <x:r>
    <x:s v="CUST-0535"/>
    <x:x v="3"/>
    <x:x v="1"/>
    <x:s v="Finance"/>
    <x:s v="201-500"/>
    <x:n v="52"/>
    <x:n v="3668.9"/>
    <x:s v="Referral"/>
    <x:s v="Europe"/>
    <x:d v="2024-07-25T00:00:00"/>
    <x:s v="No"/>
    <x:m/>
    <x:s v=""/>
    <x:n v="9"/>
    <x:n v="7"/>
    <x:n v="93"/>
    <x:s v="No"/>
    <x:n v="0"/>
  </x:r>
  <x:r>
    <x:s v="CUST-0536"/>
    <x:x v="1"/>
    <x:x v="1"/>
    <x:s v="Real Estate"/>
    <x:s v="51-200"/>
    <x:n v="58"/>
    <x:n v="235.41"/>
    <x:s v="Social Media"/>
    <x:s v="Asia Pacific"/>
    <x:d v="2022-11-05T00:00:00"/>
    <x:s v="Yes"/>
    <x:d v="2022-11-06T00:00:00"/>
    <x:s v="Company Closed"/>
    <x:n v="4"/>
    <x:n v="5"/>
    <x:n v="20"/>
    <x:s v="No"/>
    <x:n v="1"/>
  </x:r>
  <x:r>
    <x:s v="CUST-0537"/>
    <x:x v="1"/>
    <x:x v="0"/>
    <x:s v="Legal"/>
    <x:s v="11-50"/>
    <x:n v="26"/>
    <x:n v="137.75"/>
    <x:s v="Paid Ads"/>
    <x:s v="North America"/>
    <x:d v="2023-06-14T00:00:00"/>
    <x:s v="Yes"/>
    <x:d v="2023-06-14T00:00:00"/>
    <x:s v="Price Too High"/>
    <x:n v="0"/>
    <x:n v="3"/>
    <x:n v="23"/>
    <x:s v="No"/>
    <x:n v="1"/>
  </x:r>
  <x:r>
    <x:s v="CUST-0538"/>
    <x:x v="0"/>
    <x:x v="0"/>
    <x:s v="Real Estate"/>
    <x:s v="1-10"/>
    <x:n v="8"/>
    <x:n v="161.95"/>
    <x:s v="Paid Ads"/>
    <x:s v="Europe"/>
    <x:d v="2025-05-04T00:00:00"/>
    <x:s v="Yes"/>
    <x:d v="2025-08-08T00:00:00"/>
    <x:s v="Price Too High"/>
    <x:n v="5"/>
    <x:n v="2"/>
    <x:n v="49"/>
    <x:s v="No"/>
    <x:n v="1"/>
  </x:r>
  <x:r>
    <x:s v="CUST-0539"/>
    <x:x v="2"/>
    <x:x v="1"/>
    <x:s v="Healthcare"/>
    <x:s v="51-200"/>
    <x:n v="20"/>
    <x:n v="651.23"/>
    <x:s v="Social Media"/>
    <x:s v="North America"/>
    <x:d v="2024-05-25T00:00:00"/>
    <x:s v="No"/>
    <x:m/>
    <x:s v=""/>
    <x:n v="8"/>
    <x:n v="9"/>
    <x:n v="90"/>
    <x:s v="No"/>
    <x:n v="0"/>
  </x:r>
  <x:r>
    <x:s v="CUST-0540"/>
    <x:x v="1"/>
    <x:x v="0"/>
    <x:s v="Consulting"/>
    <x:s v="51-200"/>
    <x:n v="68"/>
    <x:n v="320.45"/>
    <x:s v="Paid Ads"/>
    <x:s v="North America"/>
    <x:d v="2024-09-04T00:00:00"/>
    <x:s v="Yes"/>
    <x:d v="2025-05-10T00:00:00"/>
    <x:s v="No Longer Needed"/>
    <x:n v="9"/>
    <x:n v="4"/>
    <x:n v="50"/>
    <x:s v="No"/>
    <x:n v="1"/>
  </x:r>
  <x:r>
    <x:s v="CUST-0541"/>
    <x:x v="0"/>
    <x:x v="0"/>
    <x:s v="Manufacturing"/>
    <x:s v="201-500"/>
    <x:n v="30"/>
    <x:n v="422.65"/>
    <x:s v="Referral"/>
    <x:s v="North America"/>
    <x:d v="2023-08-28T00:00:00"/>
    <x:s v="Yes"/>
    <x:d v="2024-11-10T00:00:00"/>
    <x:s v="Budget Cuts"/>
    <x:n v="8"/>
    <x:n v="1"/>
    <x:n v="50"/>
    <x:s v="No"/>
    <x:n v="1"/>
  </x:r>
  <x:r>
    <x:s v="CUST-0542"/>
    <x:x v="1"/>
    <x:x v="0"/>
    <x:s v="Education"/>
    <x:s v="11-50"/>
    <x:n v="28"/>
    <x:n v="146.45"/>
    <x:s v="Direct Sales"/>
    <x:s v="North America"/>
    <x:d v="2025-10-24T00:00:00"/>
    <x:s v="No"/>
    <x:m/>
    <x:s v=""/>
    <x:n v="7"/>
    <x:n v="1"/>
    <x:n v="91"/>
    <x:s v="No"/>
    <x:n v="0"/>
  </x:r>
  <x:r>
    <x:s v="CUST-0543"/>
    <x:x v="3"/>
    <x:x v="1"/>
    <x:s v="Real Estate"/>
    <x:s v="1-10"/>
    <x:n v="1"/>
    <x:n v="424.15"/>
    <x:s v="Partner"/>
    <x:s v="North America"/>
    <x:d v="2022-11-05T00:00:00"/>
    <x:s v="Yes"/>
    <x:d v="2025-05-10T00:00:00"/>
    <x:s v="No Longer Needed"/>
    <x:n v="9"/>
    <x:n v="3"/>
    <x:n v="24"/>
    <x:s v="No"/>
    <x:n v="1"/>
  </x:r>
  <x:r>
    <x:s v="CUST-0544"/>
    <x:x v="2"/>
    <x:x v="1"/>
    <x:s v="Real Estate"/>
    <x:s v="11-50"/>
    <x:n v="16"/>
    <x:n v="549.74"/>
    <x:s v="Referral"/>
    <x:s v="Europe"/>
    <x:d v="2023-12-30T00:00:00"/>
    <x:s v="No"/>
    <x:m/>
    <x:s v=""/>
    <x:n v="4"/>
    <x:n v="3"/>
    <x:n v="25"/>
    <x:s v="No"/>
    <x:n v="0"/>
  </x:r>
  <x:r>
    <x:s v="CUST-0545"/>
    <x:x v="1"/>
    <x:x v="0"/>
    <x:s v="Technology"/>
    <x:s v="1-10"/>
    <x:n v="1"/>
    <x:n v="29"/>
    <x:s v="Referral"/>
    <x:s v="Europe"/>
    <x:d v="2022-05-04T00:00:00"/>
    <x:s v="Yes"/>
    <x:d v="2022-12-14T00:00:00"/>
    <x:s v="Price Too High"/>
    <x:n v="14"/>
    <x:n v="2"/>
    <x:n v="10"/>
    <x:s v="No"/>
    <x:n v="1"/>
  </x:r>
  <x:r>
    <x:s v="CUST-0546"/>
    <x:x v="0"/>
    <x:x v="0"/>
    <x:s v="Technology"/>
    <x:s v="11-50"/>
    <x:n v="11"/>
    <x:n v="197.5"/>
    <x:s v="Direct Sales"/>
    <x:s v="Asia Pacific"/>
    <x:d v="2023-09-12T00:00:00"/>
    <x:s v="Yes"/>
    <x:d v="2024-04-25T00:00:00"/>
    <x:s v="Company Closed"/>
    <x:n v="12"/>
    <x:n v="2"/>
    <x:n v="10"/>
    <x:s v="No"/>
    <x:n v="1"/>
  </x:r>
  <x:r>
    <x:s v="CUST-0547"/>
    <x:x v="3"/>
    <x:x v="0"/>
    <x:s v="Retail"/>
    <x:s v="1-10"/>
    <x:n v="2"/>
    <x:n v="573.85"/>
    <x:s v="Organic Search"/>
    <x:s v="North America"/>
    <x:d v="2023-01-10T00:00:00"/>
    <x:s v="Yes"/>
    <x:d v="2025-02-18T00:00:00"/>
    <x:s v="Poor Support"/>
    <x:n v="10"/>
    <x:n v="3"/>
    <x:n v="22"/>
    <x:s v="No"/>
    <x:n v="1"/>
  </x:r>
  <x:r>
    <x:s v="CUST-0548"/>
    <x:x v="2"/>
    <x:x v="0"/>
    <x:s v="Media"/>
    <x:s v="11-50"/>
    <x:n v="31"/>
    <x:n v="1094.5"/>
    <x:s v="Paid Ads"/>
    <x:s v="Asia Pacific"/>
    <x:d v="2022-11-24T00:00:00"/>
    <x:s v="No"/>
    <x:m/>
    <x:s v=""/>
    <x:n v="1"/>
    <x:n v="6"/>
    <x:n v="49"/>
    <x:s v="No"/>
    <x:n v="0"/>
  </x:r>
  <x:r>
    <x:s v="CUST-0549"/>
    <x:x v="1"/>
    <x:x v="1"/>
    <x:s v="Legal"/>
    <x:s v="11-50"/>
    <x:n v="30"/>
    <x:n v="131.88"/>
    <x:s v="Partner"/>
    <x:s v="North America"/>
    <x:d v="2022-03-20T00:00:00"/>
    <x:s v="Yes"/>
    <x:d v="2022-04-05T00:00:00"/>
    <x:s v="Company Closed"/>
    <x:n v="7"/>
    <x:n v="1"/>
    <x:n v="28"/>
    <x:s v="No"/>
    <x:n v="1"/>
  </x:r>
  <x:r>
    <x:s v="CUST-0550"/>
    <x:x v="1"/>
    <x:x v="0"/>
    <x:s v="Technology"/>
    <x:s v="11-50"/>
    <x:n v="31"/>
    <x:n v="159.5"/>
    <x:s v="Organic Search"/>
    <x:s v="Asia Pacific"/>
    <x:d v="2024-04-25T00:00:00"/>
    <x:s v="Yes"/>
    <x:d v="2024-09-02T00:00:00"/>
    <x:s v="No Longer Needed"/>
    <x:n v="1"/>
    <x:n v="6"/>
    <x:n v="33"/>
    <x:s v="No"/>
    <x:n v="1"/>
  </x:r>
  <x:r>
    <x:s v="CUST-0551"/>
    <x:x v="0"/>
    <x:x v="1"/>
    <x:s v="Consulting"/>
    <x:s v="500+"/>
    <x:n v="187"/>
    <x:n v="1940.63"/>
    <x:s v="Paid Ads"/>
    <x:s v="North America"/>
    <x:d v="2025-10-08T00:00:00"/>
    <x:s v="No"/>
    <x:m/>
    <x:s v=""/>
    <x:n v="1"/>
    <x:n v="3"/>
    <x:n v="53"/>
    <x:s v="No"/>
    <x:n v="0"/>
  </x:r>
  <x:r>
    <x:s v="CUST-0552"/>
    <x:x v="1"/>
    <x:x v="0"/>
    <x:s v="Education"/>
    <x:s v="11-50"/>
    <x:n v="9"/>
    <x:n v="63.8"/>
    <x:s v="Direct Sales"/>
    <x:s v="North America"/>
    <x:d v="2025-03-10T00:00:00"/>
    <x:s v="No"/>
    <x:m/>
    <x:s v=""/>
    <x:n v="9"/>
    <x:n v="3"/>
    <x:n v="22"/>
    <x:s v="No"/>
    <x:n v="0"/>
  </x:r>
  <x:r>
    <x:s v="CUST-0553"/>
    <x:x v="1"/>
    <x:x v="1"/>
    <x:s v="Technology"/>
    <x:s v="201-500"/>
    <x:n v="135"/>
    <x:n v="520.12"/>
    <x:s v="Social Media"/>
    <x:s v="Asia Pacific"/>
    <x:d v="2024-10-01T00:00:00"/>
    <x:s v="No"/>
    <x:m/>
    <x:s v=""/>
    <x:n v="10"/>
    <x:n v="4"/>
    <x:n v="86"/>
    <x:s v="No"/>
    <x:n v="0"/>
  </x:r>
  <x:r>
    <x:s v="CUST-0554"/>
    <x:x v="1"/>
    <x:x v="1"/>
    <x:s v="Manufacturing"/>
    <x:s v="51-200"/>
    <x:n v="39"/>
    <x:n v="165.16"/>
    <x:s v="Paid Ads"/>
    <x:s v="North America"/>
    <x:d v="2022-02-17T00:00:00"/>
    <x:s v="Yes"/>
    <x:d v="2022-09-10T00:00:00"/>
    <x:s v="Company Closed"/>
    <x:n v="8"/>
    <x:n v="6"/>
    <x:n v="18"/>
    <x:s v="No"/>
    <x:n v="1"/>
  </x:r>
  <x:r>
    <x:s v="CUST-0555"/>
    <x:x v="2"/>
    <x:x v="1"/>
    <x:s v="Retail"/>
    <x:s v="11-50"/>
    <x:n v="29"/>
    <x:n v="879.58"/>
    <x:s v="Referral"/>
    <x:s v="North America"/>
    <x:d v="2022-07-28T00:00:00"/>
    <x:s v="No"/>
    <x:m/>
    <x:s v=""/>
    <x:n v="2"/>
    <x:n v="5"/>
    <x:n v="71"/>
    <x:s v="No"/>
    <x:n v="0"/>
  </x:r>
  <x:r>
    <x:s v="CUST-0556"/>
    <x:x v="2"/>
    <x:x v="0"/>
    <x:s v="Consulting"/>
    <x:s v="500+"/>
    <x:n v="182"/>
    <x:n v="5601.85"/>
    <x:s v="Paid Ads"/>
    <x:s v="Latin America"/>
    <x:d v="2025-07-25T00:00:00"/>
    <x:s v="Yes"/>
    <x:d v="2025-07-28T00:00:00"/>
    <x:s v="Company Closed"/>
    <x:n v="4"/>
    <x:n v="1"/>
    <x:n v="21"/>
    <x:s v="No"/>
    <x:n v="1"/>
  </x:r>
  <x:r>
    <x:s v="CUST-0557"/>
    <x:x v="1"/>
    <x:x v="0"/>
    <x:s v="Finance"/>
    <x:s v="201-500"/>
    <x:n v="82"/>
    <x:n v="381.35"/>
    <x:s v="Referral"/>
    <x:s v="North America"/>
    <x:d v="2025-10-11T00:00:00"/>
    <x:s v="No"/>
    <x:m/>
    <x:s v=""/>
    <x:n v="1"/>
    <x:n v="6"/>
    <x:n v="33"/>
    <x:s v="No"/>
    <x:n v="0"/>
  </x:r>
  <x:r>
    <x:s v="CUST-0558"/>
    <x:x v="2"/>
    <x:x v="0"/>
    <x:s v="Education"/>
    <x:s v="201-500"/>
    <x:n v="74"/>
    <x:n v="2378.05"/>
    <x:s v="Organic Search"/>
    <x:s v="Europe"/>
    <x:d v="2025-04-25T00:00:00"/>
    <x:s v="No"/>
    <x:m/>
    <x:s v=""/>
    <x:n v="0"/>
    <x:n v="9"/>
    <x:n v="71"/>
    <x:s v="Yes"/>
    <x:n v="0"/>
  </x:r>
  <x:r>
    <x:s v="CUST-0559"/>
    <x:x v="0"/>
    <x:x v="1"/>
    <x:s v="Healthcare"/>
    <x:s v="11-50"/>
    <x:n v="30"/>
    <x:n v="359.25"/>
    <x:s v="Partner"/>
    <x:s v="North America"/>
    <x:d v="2022-11-27T00:00:00"/>
    <x:s v="Yes"/>
    <x:d v="2023-09-11T00:00:00"/>
    <x:s v="Budget Cuts"/>
    <x:n v="11"/>
    <x:n v="1"/>
    <x:n v="26"/>
    <x:s v="No"/>
    <x:n v="1"/>
  </x:r>
  <x:r>
    <x:s v="CUST-0560"/>
    <x:x v="1"/>
    <x:x v="0"/>
    <x:s v="Legal"/>
    <x:s v="11-50"/>
    <x:n v="6"/>
    <x:n v="50.75"/>
    <x:s v="Organic Search"/>
    <x:s v="Asia Pacific"/>
    <x:d v="2024-08-12T00:00:00"/>
    <x:s v="Yes"/>
    <x:d v="2025-06-24T00:00:00"/>
    <x:s v="Price Too High"/>
    <x:n v="9"/>
    <x:n v="1"/>
    <x:n v="45"/>
    <x:s v="No"/>
    <x:n v="1"/>
  </x:r>
  <x:r>
    <x:s v="CUST-0561"/>
    <x:x v="3"/>
    <x:x v="0"/>
    <x:s v="Legal"/>
    <x:s v="11-50"/>
    <x:n v="17"/>
    <x:n v="1696.6"/>
    <x:s v="Organic Search"/>
    <x:s v="Asia Pacific"/>
    <x:d v="2023-07-21T00:00:00"/>
    <x:s v="No"/>
    <x:m/>
    <x:s v=""/>
    <x:n v="9"/>
    <x:n v="3"/>
    <x:n v="41"/>
    <x:s v="No"/>
    <x:n v="0"/>
  </x:r>
  <x:r>
    <x:s v="CUST-0562"/>
    <x:x v="2"/>
    <x:x v="0"/>
    <x:s v="Healthcare"/>
    <x:s v="51-200"/>
    <x:n v="30"/>
    <x:n v="1064.65"/>
    <x:s v="Referral"/>
    <x:s v="North America"/>
    <x:d v="2025-10-12T00:00:00"/>
    <x:s v="No"/>
    <x:m/>
    <x:s v=""/>
    <x:n v="6"/>
    <x:n v="10"/>
    <x:n v="17"/>
    <x:s v="No"/>
    <x:n v="0"/>
  </x:r>
  <x:r>
    <x:s v="CUST-0563"/>
    <x:x v="1"/>
    <x:x v="0"/>
    <x:s v="Technology"/>
    <x:s v="1-10"/>
    <x:n v="8"/>
    <x:n v="59.45"/>
    <x:s v="Organic Search"/>
    <x:s v="Asia Pacific"/>
    <x:d v="2024-11-09T00:00:00"/>
    <x:s v="Yes"/>
    <x:d v="2025-05-14T00:00:00"/>
    <x:s v="Switched Competitor"/>
    <x:n v="3"/>
    <x:n v="5"/>
    <x:n v="27"/>
    <x:s v="No"/>
    <x:n v="1"/>
  </x:r>
  <x:r>
    <x:s v="CUST-0564"/>
    <x:x v="0"/>
    <x:x v="0"/>
    <x:s v="Technology"/>
    <x:s v="1-10"/>
    <x:n v="8"/>
    <x:n v="161.95"/>
    <x:s v="Paid Ads"/>
    <x:s v="Europe"/>
    <x:d v="2025-03-17T00:00:00"/>
    <x:s v="No"/>
    <x:m/>
    <x:s v=""/>
    <x:n v="10"/>
    <x:n v="10"/>
    <x:n v="78"/>
    <x:s v="No"/>
    <x:n v="0"/>
  </x:r>
  <x:r>
    <x:s v="CUST-0565"/>
    <x:x v="2"/>
    <x:x v="0"/>
    <x:s v="Manufacturing"/>
    <x:s v="1-10"/>
    <x:n v="6"/>
    <x:n v="348.25"/>
    <x:s v="Referral"/>
    <x:s v="Asia Pacific"/>
    <x:d v="2023-10-27T00:00:00"/>
    <x:s v="Yes"/>
    <x:d v="2025-11-02T00:00:00"/>
    <x:s v="Price Too High"/>
    <x:n v="10"/>
    <x:n v="1"/>
    <x:n v="19"/>
    <x:s v="No"/>
    <x:n v="1"/>
  </x:r>
  <x:r>
    <x:s v="CUST-0566"/>
    <x:x v="0"/>
    <x:x v="0"/>
    <x:s v="Real Estate"/>
    <x:s v="1-10"/>
    <x:n v="8"/>
    <x:n v="161.95"/>
    <x:s v="Organic Search"/>
    <x:s v="Europe"/>
    <x:d v="2022-08-24T00:00:00"/>
    <x:s v="Yes"/>
    <x:d v="2022-09-23T00:00:00"/>
    <x:s v="Budget Cuts"/>
    <x:n v="1"/>
    <x:n v="3"/>
    <x:n v="15"/>
    <x:s v="No"/>
    <x:n v="1"/>
  </x:r>
  <x:r>
    <x:s v="CUST-0567"/>
    <x:x v="1"/>
    <x:x v="1"/>
    <x:s v="Manufacturing"/>
    <x:s v="11-50"/>
    <x:n v="27"/>
    <x:n v="120.78"/>
    <x:s v="Direct Sales"/>
    <x:s v="Europe"/>
    <x:d v="2024-06-22T00:00:00"/>
    <x:s v="Yes"/>
    <x:d v="2024-08-18T00:00:00"/>
    <x:s v="Budget Cuts"/>
    <x:n v="10"/>
    <x:n v="4"/>
    <x:n v="11"/>
    <x:s v="No"/>
    <x:n v="1"/>
  </x:r>
  <x:r>
    <x:s v="CUST-0568"/>
    <x:x v="1"/>
    <x:x v="1"/>
    <x:s v="Education"/>
    <x:s v="51-200"/>
    <x:n v="50"/>
    <x:n v="205.83"/>
    <x:s v="Referral"/>
    <x:s v="North America"/>
    <x:d v="2025-05-25T00:00:00"/>
    <x:s v="No"/>
    <x:m/>
    <x:s v=""/>
    <x:n v="5"/>
    <x:n v="8"/>
    <x:n v="66"/>
    <x:s v="No"/>
    <x:n v="0"/>
  </x:r>
  <x:r>
    <x:s v="CUST-0569"/>
    <x:x v="0"/>
    <x:x v="0"/>
    <x:s v="Healthcare"/>
    <x:s v="11-50"/>
    <x:n v="13"/>
    <x:n v="221.2"/>
    <x:s v="Organic Search"/>
    <x:s v="Europe"/>
    <x:d v="2025-05-31T00:00:00"/>
    <x:s v="No"/>
    <x:m/>
    <x:s v=""/>
    <x:n v="5"/>
    <x:n v="5"/>
    <x:n v="53"/>
    <x:s v="No"/>
    <x:n v="0"/>
  </x:r>
  <x:r>
    <x:s v="CUST-0570"/>
    <x:x v="2"/>
    <x:x v="1"/>
    <x:s v="Technology"/>
    <x:s v="11-50"/>
    <x:n v="23"/>
    <x:n v="727.34"/>
    <x:s v="Organic Search"/>
    <x:s v="North America"/>
    <x:d v="2024-05-07T00:00:00"/>
    <x:s v="No"/>
    <x:m/>
    <x:s v=""/>
    <x:n v="2"/>
    <x:n v="5"/>
    <x:n v="19"/>
    <x:s v="No"/>
    <x:n v="0"/>
  </x:r>
  <x:r>
    <x:s v="CUST-0571"/>
    <x:x v="1"/>
    <x:x v="0"/>
    <x:s v="Legal"/>
    <x:s v="1-10"/>
    <x:n v="2"/>
    <x:n v="33.35"/>
    <x:s v="Referral"/>
    <x:s v="North America"/>
    <x:d v="2022-02-06T00:00:00"/>
    <x:s v="Yes"/>
    <x:d v="2022-02-14T00:00:00"/>
    <x:s v="Switched Competitor"/>
    <x:n v="15"/>
    <x:n v="1"/>
    <x:n v="15"/>
    <x:s v="No"/>
    <x:n v="1"/>
  </x:r>
  <x:r>
    <x:s v="CUST-0572"/>
    <x:x v="1"/>
    <x:x v="0"/>
    <x:s v="Manufacturing"/>
    <x:s v="1-10"/>
    <x:n v="3"/>
    <x:n v="37.7"/>
    <x:s v="Social Media"/>
    <x:s v="Asia Pacific"/>
    <x:d v="2022-11-08T00:00:00"/>
    <x:s v="Yes"/>
    <x:d v="2023-08-16T00:00:00"/>
    <x:s v="Switched Competitor"/>
    <x:n v="6"/>
    <x:n v="5"/>
    <x:n v="33"/>
    <x:s v="No"/>
    <x:n v="1"/>
  </x:r>
  <x:r>
    <x:s v="CUST-0573"/>
    <x:x v="0"/>
    <x:x v="1"/>
    <x:s v="Consulting"/>
    <x:s v="51-200"/>
    <x:n v="34"/>
    <x:n v="399.54"/>
    <x:s v="Partner"/>
    <x:s v="Asia Pacific"/>
    <x:d v="2022-08-16T00:00:00"/>
    <x:s v="No"/>
    <x:m/>
    <x:s v=""/>
    <x:n v="6"/>
    <x:n v="5"/>
    <x:n v="39"/>
    <x:s v="No"/>
    <x:n v="0"/>
  </x:r>
  <x:r>
    <x:s v="CUST-0574"/>
    <x:x v="3"/>
    <x:x v="0"/>
    <x:s v="Education"/>
    <x:s v="51-200"/>
    <x:n v="78"/>
    <x:n v="6262.45"/>
    <x:s v="Paid Ads"/>
    <x:s v="North America"/>
    <x:d v="2023-10-05T00:00:00"/>
    <x:s v="No"/>
    <x:m/>
    <x:s v=""/>
    <x:n v="1"/>
    <x:n v="9"/>
    <x:n v="50"/>
    <x:s v="Yes"/>
    <x:n v="0"/>
  </x:r>
  <x:r>
    <x:s v="CUST-0575"/>
    <x:x v="2"/>
    <x:x v="1"/>
    <x:s v="Consulting"/>
    <x:s v="51-200"/>
    <x:n v="38"/>
    <x:n v="1107.93"/>
    <x:s v="Referral"/>
    <x:s v="North America"/>
    <x:d v="2025-11-09T00:00:00"/>
    <x:s v="No"/>
    <x:m/>
    <x:s v=""/>
    <x:n v="11"/>
    <x:n v="8"/>
    <x:n v="26"/>
    <x:s v="No"/>
    <x:n v="0"/>
  </x:r>
  <x:r>
    <x:s v="CUST-0576"/>
    <x:x v="1"/>
    <x:x v="1"/>
    <x:s v="Manufacturing"/>
    <x:s v="1-10"/>
    <x:n v="4"/>
    <x:n v="35.74"/>
    <x:s v="Partner"/>
    <x:s v="North America"/>
    <x:d v="2024-05-26T00:00:00"/>
    <x:s v="Yes"/>
    <x:d v="2024-06-14T00:00:00"/>
    <x:s v="Price Too High"/>
    <x:n v="1"/>
    <x:n v="5"/>
    <x:n v="35"/>
    <x:s v="No"/>
    <x:n v="1"/>
  </x:r>
  <x:r>
    <x:s v="CUST-0577"/>
    <x:x v="1"/>
    <x:x v="1"/>
    <x:s v="Finance"/>
    <x:s v="201-500"/>
    <x:n v="123"/>
    <x:n v="475.74"/>
    <x:s v="Paid Ads"/>
    <x:s v="North America"/>
    <x:d v="2022-08-18T00:00:00"/>
    <x:s v="Yes"/>
    <x:d v="2023-08-30T00:00:00"/>
    <x:s v="Price Too High"/>
    <x:n v="5"/>
    <x:n v="3"/>
    <x:n v="22"/>
    <x:s v="No"/>
    <x:n v="1"/>
  </x:r>
  <x:r>
    <x:s v="CUST-0578"/>
    <x:x v="0"/>
    <x:x v="0"/>
    <x:s v="Education"/>
    <x:s v="500+"/>
    <x:n v="74"/>
    <x:n v="944.05"/>
    <x:s v="Organic Search"/>
    <x:s v="North America"/>
    <x:d v="2024-03-08T00:00:00"/>
    <x:s v="Yes"/>
    <x:d v="2025-10-26T00:00:00"/>
    <x:s v="Missing Features"/>
    <x:n v="9"/>
    <x:n v="3"/>
    <x:n v="38"/>
    <x:s v="No"/>
    <x:n v="1"/>
  </x:r>
  <x:r>
    <x:s v="CUST-0579"/>
    <x:x v="0"/>
    <x:x v="0"/>
    <x:s v="Finance"/>
    <x:s v="11-50"/>
    <x:n v="9"/>
    <x:n v="173.8"/>
    <x:s v="Direct Sales"/>
    <x:s v="North America"/>
    <x:d v="2025-09-22T00:00:00"/>
    <x:s v="No"/>
    <x:m/>
    <x:s v=""/>
    <x:n v="8"/>
    <x:n v="8"/>
    <x:n v="74"/>
    <x:s v="No"/>
    <x:n v="0"/>
  </x:r>
  <x:r>
    <x:s v="CUST-0580"/>
    <x:x v="0"/>
    <x:x v="0"/>
    <x:s v="Education"/>
    <x:s v="201-500"/>
    <x:n v="33"/>
    <x:n v="458.2"/>
    <x:s v="Referral"/>
    <x:s v="North America"/>
    <x:d v="2024-03-20T00:00:00"/>
    <x:s v="Yes"/>
    <x:d v="2024-09-30T00:00:00"/>
    <x:s v="Price Too High"/>
    <x:n v="13"/>
    <x:n v="2"/>
    <x:n v="39"/>
    <x:s v="No"/>
    <x:n v="1"/>
  </x:r>
  <x:r>
    <x:s v="CUST-0581"/>
    <x:x v="2"/>
    <x:x v="0"/>
    <x:s v="Technology"/>
    <x:s v="201-500"/>
    <x:n v="105"/>
    <x:n v="3303.4"/>
    <x:s v="Direct Sales"/>
    <x:s v="Asia Pacific"/>
    <x:d v="2024-11-10T00:00:00"/>
    <x:s v="No"/>
    <x:m/>
    <x:s v=""/>
    <x:n v="0"/>
    <x:n v="8"/>
    <x:n v="75"/>
    <x:s v="Yes"/>
    <x:n v="0"/>
  </x:r>
  <x:r>
    <x:s v="CUST-0582"/>
    <x:x v="0"/>
    <x:x v="0"/>
    <x:s v="Consulting"/>
    <x:s v="11-50"/>
    <x:n v="35"/>
    <x:n v="481.9"/>
    <x:s v="Partner"/>
    <x:s v="North America"/>
    <x:d v="2023-11-19T00:00:00"/>
    <x:s v="Yes"/>
    <x:d v="2025-07-16T00:00:00"/>
    <x:s v="Poor Support"/>
    <x:n v="0"/>
    <x:n v="2"/>
    <x:n v="32"/>
    <x:s v="No"/>
    <x:n v="1"/>
  </x:r>
  <x:r>
    <x:s v="CUST-0583"/>
    <x:x v="0"/>
    <x:x v="0"/>
    <x:s v="Finance"/>
    <x:s v="1-10"/>
    <x:n v="4"/>
    <x:n v="114.55"/>
    <x:s v="Social Media"/>
    <x:s v="North America"/>
    <x:d v="2025-06-17T00:00:00"/>
    <x:s v="Yes"/>
    <x:d v="2025-06-19T00:00:00"/>
    <x:s v="Price Too High"/>
    <x:n v="3"/>
    <x:n v="5"/>
    <x:n v="50"/>
    <x:s v="No"/>
    <x:n v="1"/>
  </x:r>
  <x:r>
    <x:s v="CUST-0584"/>
    <x:x v="2"/>
    <x:x v="0"/>
    <x:s v="Media"/>
    <x:s v="11-50"/>
    <x:n v="18"/>
    <x:n v="706.45"/>
    <x:s v="Organic Search"/>
    <x:s v="North America"/>
    <x:d v="2025-10-26T00:00:00"/>
    <x:s v="No"/>
    <x:m/>
    <x:s v=""/>
    <x:n v="0"/>
    <x:n v="1"/>
    <x:n v="37"/>
    <x:s v="No"/>
    <x:n v="0"/>
  </x:r>
  <x:r>
    <x:s v="CUST-0585"/>
    <x:x v="2"/>
    <x:x v="0"/>
    <x:s v="Technology"/>
    <x:s v="11-50"/>
    <x:n v="5"/>
    <x:n v="318.4"/>
    <x:s v="Direct Sales"/>
    <x:s v="North America"/>
    <x:d v="2023-11-16T00:00:00"/>
    <x:s v="No"/>
    <x:m/>
    <x:s v=""/>
    <x:n v="0"/>
    <x:n v="4"/>
    <x:n v="77"/>
    <x:s v="Yes"/>
    <x:n v="0"/>
  </x:r>
  <x:r>
    <x:s v="CUST-0586"/>
    <x:x v="1"/>
    <x:x v="0"/>
    <x:s v="Healthcare"/>
    <x:s v="201-500"/>
    <x:n v="116"/>
    <x:n v="529.25"/>
    <x:s v="Paid Ads"/>
    <x:s v="North America"/>
    <x:d v="2025-10-11T00:00:00"/>
    <x:s v="No"/>
    <x:m/>
    <x:s v=""/>
    <x:n v="6"/>
    <x:n v="3"/>
    <x:n v="68"/>
    <x:s v="No"/>
    <x:n v="0"/>
  </x:r>
  <x:r>
    <x:s v="CUST-0587"/>
    <x:x v="2"/>
    <x:x v="0"/>
    <x:s v="Technology"/>
    <x:s v="1-10"/>
    <x:n v="1"/>
    <x:n v="199"/>
    <x:s v="Referral"/>
    <x:s v="Latin America"/>
    <x:d v="2022-09-04T00:00:00"/>
    <x:s v="No"/>
    <x:m/>
    <x:s v=""/>
    <x:n v="2"/>
    <x:n v="6"/>
    <x:n v="84"/>
    <x:s v="Yes"/>
    <x:n v="0"/>
  </x:r>
  <x:r>
    <x:s v="CUST-0588"/>
    <x:x v="2"/>
    <x:x v="0"/>
    <x:s v="Retail"/>
    <x:s v="11-50"/>
    <x:n v="33"/>
    <x:n v="1154.2"/>
    <x:s v="Organic Search"/>
    <x:s v="Latin America"/>
    <x:d v="2023-01-17T00:00:00"/>
    <x:s v="Yes"/>
    <x:d v="2025-07-19T00:00:00"/>
    <x:s v="Switched Competitor"/>
    <x:n v="1"/>
    <x:n v="3"/>
    <x:n v="37"/>
    <x:s v="No"/>
    <x:n v="1"/>
  </x:r>
  <x:r>
    <x:s v="CUST-0589"/>
    <x:x v="1"/>
    <x:x v="1"/>
    <x:s v="Healthcare"/>
    <x:s v="1-10"/>
    <x:n v="7"/>
    <x:n v="46.83"/>
    <x:s v="Referral"/>
    <x:s v="Latin America"/>
    <x:d v="2023-11-21T00:00:00"/>
    <x:s v="Yes"/>
    <x:d v="2024-07-08T00:00:00"/>
    <x:s v="Budget Cuts"/>
    <x:n v="11"/>
    <x:n v="1"/>
    <x:n v="18"/>
    <x:s v="No"/>
    <x:n v="1"/>
  </x:r>
  <x:r>
    <x:s v="CUST-0590"/>
    <x:x v="1"/>
    <x:x v="0"/>
    <x:s v="Consulting"/>
    <x:s v="11-50"/>
    <x:n v="21"/>
    <x:n v="116"/>
    <x:s v="Organic Search"/>
    <x:s v="Latin America"/>
    <x:d v="2023-09-20T00:00:00"/>
    <x:s v="Yes"/>
    <x:d v="2023-11-21T00:00:00"/>
    <x:s v="No Longer Needed"/>
    <x:n v="11"/>
    <x:n v="3"/>
    <x:n v="16"/>
    <x:s v="No"/>
    <x:n v="1"/>
  </x:r>
  <x:r>
    <x:s v="CUST-0591"/>
    <x:x v="2"/>
    <x:x v="0"/>
    <x:s v="Technology"/>
    <x:s v="11-50"/>
    <x:n v="6"/>
    <x:n v="348.25"/>
    <x:s v="Organic Search"/>
    <x:s v="North America"/>
    <x:d v="2023-11-22T00:00:00"/>
    <x:s v="No"/>
    <x:m/>
    <x:s v=""/>
    <x:n v="1"/>
    <x:n v="2"/>
    <x:n v="27"/>
    <x:s v="Yes"/>
    <x:n v="0"/>
  </x:r>
  <x:r>
    <x:s v="CUST-0592"/>
    <x:x v="0"/>
    <x:x v="0"/>
    <x:s v="Media"/>
    <x:s v="11-50"/>
    <x:n v="6"/>
    <x:n v="138.25"/>
    <x:s v="Partner"/>
    <x:s v="Europe"/>
    <x:d v="2022-10-02T00:00:00"/>
    <x:s v="Yes"/>
    <x:d v="2024-02-13T00:00:00"/>
    <x:s v="Poor Support"/>
    <x:n v="5"/>
    <x:n v="3"/>
    <x:n v="11"/>
    <x:s v="No"/>
    <x:n v="1"/>
  </x:r>
  <x:r>
    <x:s v="CUST-0593"/>
    <x:x v="2"/>
    <x:x v="0"/>
    <x:s v="Real Estate"/>
    <x:s v="51-200"/>
    <x:n v="47"/>
    <x:n v="1572.1"/>
    <x:s v="Organic Search"/>
    <x:s v="North America"/>
    <x:d v="2023-02-07T00:00:00"/>
    <x:s v="No"/>
    <x:m/>
    <x:s v=""/>
    <x:n v="1"/>
    <x:n v="9"/>
    <x:n v="27"/>
    <x:s v="No"/>
    <x:n v="0"/>
  </x:r>
  <x:r>
    <x:s v="CUST-0594"/>
    <x:x v="2"/>
    <x:x v="1"/>
    <x:s v="Legal"/>
    <x:s v="51-200"/>
    <x:n v="76"/>
    <x:n v="2072.09"/>
    <x:s v="Organic Search"/>
    <x:s v="Asia Pacific"/>
    <x:d v="2022-12-14T00:00:00"/>
    <x:s v="Yes"/>
    <x:d v="2023-04-10T00:00:00"/>
    <x:s v="Price Too High"/>
    <x:n v="4"/>
    <x:n v="2"/>
    <x:n v="35"/>
    <x:s v="No"/>
    <x:n v="1"/>
  </x:r>
  <x:r>
    <x:s v="CUST-0595"/>
    <x:x v="2"/>
    <x:x v="0"/>
    <x:s v="Manufacturing"/>
    <x:s v="11-50"/>
    <x:n v="11"/>
    <x:n v="497.5"/>
    <x:s v="Organic Search"/>
    <x:s v="Europe"/>
    <x:d v="2023-04-11T00:00:00"/>
    <x:s v="Yes"/>
    <x:d v="2024-11-14T00:00:00"/>
    <x:s v="Missing Features"/>
    <x:n v="3"/>
    <x:n v="3"/>
    <x:n v="48"/>
    <x:s v="No"/>
    <x:n v="1"/>
  </x:r>
  <x:r>
    <x:s v="CUST-0596"/>
    <x:x v="0"/>
    <x:x v="1"/>
    <x:s v="Healthcare"/>
    <x:s v="11-50"/>
    <x:n v="32"/>
    <x:n v="379.4"/>
    <x:s v="Referral"/>
    <x:s v="North America"/>
    <x:d v="2024-12-05T00:00:00"/>
    <x:s v="No"/>
    <x:m/>
    <x:s v=""/>
    <x:n v="3"/>
    <x:n v="6"/>
    <x:n v="65"/>
    <x:s v="Yes"/>
    <x:n v="0"/>
  </x:r>
  <x:r>
    <x:s v="CUST-0597"/>
    <x:x v="0"/>
    <x:x v="1"/>
    <x:s v="Technology"/>
    <x:s v="201-500"/>
    <x:n v="106"/>
    <x:n v="1124.76"/>
    <x:s v="Direct Sales"/>
    <x:s v="Europe"/>
    <x:d v="2023-06-25T00:00:00"/>
    <x:s v="No"/>
    <x:m/>
    <x:s v=""/>
    <x:n v="3"/>
    <x:n v="3"/>
    <x:n v="57"/>
    <x:s v="No"/>
    <x:n v="0"/>
  </x:r>
  <x:r>
    <x:s v="CUST-0598"/>
    <x:x v="1"/>
    <x:x v="0"/>
    <x:s v="Technology"/>
    <x:s v="201-500"/>
    <x:n v="84"/>
    <x:n v="390.05"/>
    <x:s v="Organic Search"/>
    <x:s v="Latin America"/>
    <x:d v="2023-09-05T00:00:00"/>
    <x:s v="No"/>
    <x:m/>
    <x:s v=""/>
    <x:n v="3"/>
    <x:n v="4"/>
    <x:n v="67"/>
    <x:s v="No"/>
    <x:n v="0"/>
  </x:r>
  <x:r>
    <x:s v="CUST-0599"/>
    <x:x v="0"/>
    <x:x v="1"/>
    <x:s v="Retail"/>
    <x:s v="11-50"/>
    <x:n v="18"/>
    <x:n v="238.38"/>
    <x:s v="Organic Search"/>
    <x:s v="North America"/>
    <x:d v="2023-06-30T00:00:00"/>
    <x:s v="No"/>
    <x:m/>
    <x:s v=""/>
    <x:n v="11"/>
    <x:n v="4"/>
    <x:n v="50"/>
    <x:s v="No"/>
    <x:n v="0"/>
  </x:r>
  <x:r>
    <x:s v="CUST-0600"/>
    <x:x v="1"/>
    <x:x v="0"/>
    <x:s v="Media"/>
    <x:s v="500+"/>
    <x:n v="87"/>
    <x:n v="403.1"/>
    <x:s v="Partner"/>
    <x:s v="Europe"/>
    <x:d v="2025-11-15T00:00:00"/>
    <x:s v="No"/>
    <x:m/>
    <x:s v=""/>
    <x:n v="10"/>
    <x:n v="10"/>
    <x:n v="70"/>
    <x:s v="No"/>
    <x:n v="0"/>
  </x:r>
  <x:r>
    <x:m/>
    <x:x v="4"/>
    <x:x v="2"/>
    <x:m/>
    <x:m/>
    <x:m/>
    <x:m/>
    <x:m/>
    <x:m/>
    <x:m/>
    <x:m/>
    <x:m/>
    <x:m/>
    <x:m/>
    <x:m/>
    <x:m/>
    <x:m/>
    <x:m/>
  </x:r>
</x:pivotCacheRecords>
</file>